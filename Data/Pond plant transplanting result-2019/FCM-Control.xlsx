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filterPrivacy="1"/>
  <xr:revisionPtr revIDLastSave="0" documentId="13_ncr:1_{97ACF677-D6F1-914C-9747-BACAC4BDCE92}" xr6:coauthVersionLast="47" xr6:coauthVersionMax="47" xr10:uidLastSave="{00000000-0000-0000-0000-000000000000}"/>
  <bookViews>
    <workbookView xWindow="0" yWindow="780" windowWidth="30240" windowHeight="17780" xr2:uid="{00000000-000D-0000-FFFF-FFFF00000000}"/>
  </bookViews>
  <sheets>
    <sheet name="Plant growth" sheetId="1" r:id="rId1"/>
    <sheet name="Salinity" sheetId="6" r:id="rId2"/>
    <sheet name="Redox and Soil strength" sheetId="7" r:id="rId3"/>
    <sheet name="Flowering" sheetId="8" r:id="rId4"/>
    <sheet name="Biomass" sheetId="9" r:id="rId5"/>
  </sheets>
  <definedNames>
    <definedName name="_xlnm._FilterDatabase" localSheetId="0" hidden="1">'Plant growth'!$B$1:$B$449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7" l="1"/>
  <c r="L38" i="7"/>
  <c r="L40" i="7"/>
  <c r="L42" i="7"/>
  <c r="L44" i="7"/>
  <c r="L46" i="7"/>
  <c r="L48" i="7"/>
  <c r="L50" i="7"/>
  <c r="L34" i="7"/>
  <c r="L88" i="7"/>
  <c r="L102" i="7"/>
  <c r="L104" i="7"/>
  <c r="L106" i="7"/>
  <c r="L100" i="7"/>
  <c r="L92" i="7"/>
  <c r="L94" i="7"/>
  <c r="L96" i="7"/>
  <c r="L90" i="7"/>
  <c r="L52" i="7" l="1"/>
  <c r="L98" i="7"/>
  <c r="L62" i="7"/>
  <c r="L60" i="7"/>
  <c r="L64" i="7"/>
  <c r="L66" i="7"/>
  <c r="L68" i="7"/>
  <c r="L70" i="7"/>
  <c r="L72" i="7"/>
  <c r="L74" i="7"/>
  <c r="L76" i="7"/>
  <c r="L78" i="7"/>
  <c r="L79" i="7"/>
  <c r="L80" i="7"/>
  <c r="L81" i="7"/>
  <c r="L82" i="7"/>
  <c r="L83" i="7"/>
  <c r="L84" i="7"/>
  <c r="L85" i="7"/>
  <c r="L86" i="7"/>
  <c r="L87" i="7"/>
  <c r="L108" i="7"/>
  <c r="L110" i="7"/>
  <c r="L112" i="7"/>
  <c r="L58" i="7"/>
  <c r="L54" i="7"/>
  <c r="L56" i="7"/>
  <c r="L32" i="7"/>
  <c r="L4" i="7"/>
  <c r="L6" i="7"/>
  <c r="L8" i="7"/>
  <c r="L10" i="7"/>
  <c r="L12" i="7"/>
  <c r="L14" i="7"/>
  <c r="L16" i="7"/>
  <c r="L18" i="7"/>
  <c r="L20" i="7"/>
  <c r="L22" i="7"/>
  <c r="L23" i="7"/>
  <c r="L24" i="7"/>
  <c r="L25" i="7"/>
  <c r="L26" i="7"/>
  <c r="L27" i="7"/>
  <c r="L28" i="7"/>
  <c r="L29" i="7"/>
  <c r="L30" i="7"/>
  <c r="L31" i="7"/>
  <c r="L2" i="7"/>
</calcChain>
</file>

<file path=xl/sharedStrings.xml><?xml version="1.0" encoding="utf-8"?>
<sst xmlns="http://schemas.openxmlformats.org/spreadsheetml/2006/main" count="3641" uniqueCount="168">
  <si>
    <t>ID</t>
  </si>
  <si>
    <t>Shoot No.</t>
  </si>
  <si>
    <t>Height (cm)</t>
  </si>
  <si>
    <t>FCM_DC_1</t>
  </si>
  <si>
    <t>FCM_DC_2</t>
  </si>
  <si>
    <t>FCM_DC_3</t>
  </si>
  <si>
    <t>FCM_DC_4</t>
  </si>
  <si>
    <t>FCM_DC_5</t>
  </si>
  <si>
    <t>FCM_DC_6</t>
  </si>
  <si>
    <t>FCM_DC_7</t>
  </si>
  <si>
    <t>FCM_DC_8</t>
  </si>
  <si>
    <t>FCM_DC_9</t>
  </si>
  <si>
    <t>FCM_DC_10</t>
  </si>
  <si>
    <t>Note</t>
  </si>
  <si>
    <t>FCM_J_DC_1</t>
  </si>
  <si>
    <t>FCM_J_DC_2</t>
  </si>
  <si>
    <t>FCM_J_HC_1</t>
  </si>
  <si>
    <t>FCM_J_HC_2</t>
  </si>
  <si>
    <t>FCM_HC_1_C</t>
  </si>
  <si>
    <t>FCM_HC_1_NC</t>
  </si>
  <si>
    <t>FCM_HC_2_C</t>
  </si>
  <si>
    <t>FCM_HC_2_NC</t>
  </si>
  <si>
    <t>FCM_HC_3_C</t>
  </si>
  <si>
    <t>FCM_HC_3_NC</t>
  </si>
  <si>
    <t>FCM_HC_4_C</t>
  </si>
  <si>
    <t>FCM_HC_4_NC</t>
  </si>
  <si>
    <t>FCM_HC_5_C</t>
  </si>
  <si>
    <t>FCM_HC_5_NC</t>
  </si>
  <si>
    <t>FCM_HC_6_C</t>
  </si>
  <si>
    <t>FCM_HC_6_NC</t>
  </si>
  <si>
    <t>FCM_HC_7_C</t>
  </si>
  <si>
    <t>FCM_HC_7_NC</t>
  </si>
  <si>
    <t>FCM_HC_8_C</t>
  </si>
  <si>
    <t>FCM_HC_8_NC</t>
  </si>
  <si>
    <t>FCM_HC_9_C</t>
  </si>
  <si>
    <t>FCM_HC_9_NC</t>
  </si>
  <si>
    <t>FCM_HC_10_C</t>
  </si>
  <si>
    <t>FCM_HC_10_NC</t>
  </si>
  <si>
    <t>FCM_PC_1_Elv</t>
  </si>
  <si>
    <t>FCM_PC_1_Non</t>
  </si>
  <si>
    <t>FCM_PC_2_Elv</t>
  </si>
  <si>
    <t>FCM_PC_2_Non</t>
  </si>
  <si>
    <t>FCM_PC_3_Elv</t>
  </si>
  <si>
    <t>FCM_PC_3_Non</t>
  </si>
  <si>
    <t>FCM_PC_4_Elv</t>
  </si>
  <si>
    <t>FCM_PC_4_Non</t>
  </si>
  <si>
    <t>FCM_PC_5_Elv</t>
  </si>
  <si>
    <t>FCM_PC_5_Non</t>
  </si>
  <si>
    <t>FCM_PC_6_Elv</t>
  </si>
  <si>
    <t>FCM_PC_6_Non</t>
  </si>
  <si>
    <t>FCM_PC_7_Elv</t>
  </si>
  <si>
    <t>FCM_PC_7_Non</t>
  </si>
  <si>
    <t>FCM_PC_8_Elv</t>
  </si>
  <si>
    <t>FCM_PC_8_Non</t>
  </si>
  <si>
    <t>FCM_PC_9_Elv</t>
  </si>
  <si>
    <t>FCM_PC_9_Non</t>
  </si>
  <si>
    <t>FCM_PC_10_Elv</t>
  </si>
  <si>
    <t>FCM_PC_10_Non</t>
  </si>
  <si>
    <t>FCM_J_PC_1</t>
  </si>
  <si>
    <t>FCM_J_PC_2</t>
  </si>
  <si>
    <t>*fell over entirely</t>
  </si>
  <si>
    <t>*5 shoots eaten</t>
  </si>
  <si>
    <t>*50%  of shoots bent</t>
  </si>
  <si>
    <t>*90%  of shoots bent</t>
  </si>
  <si>
    <t>*30%  of shoots bent</t>
  </si>
  <si>
    <t>*60%  of shoots bent</t>
  </si>
  <si>
    <t>*3 shoots bent</t>
  </si>
  <si>
    <t>*6 shoots bent</t>
  </si>
  <si>
    <t>2 shoots bent</t>
  </si>
  <si>
    <t>float</t>
  </si>
  <si>
    <t>Month</t>
    <phoneticPr fontId="3" type="noConversion"/>
  </si>
  <si>
    <t>August</t>
  </si>
  <si>
    <t>August</t>
    <phoneticPr fontId="3" type="noConversion"/>
  </si>
  <si>
    <t>Notes</t>
    <phoneticPr fontId="3" type="noConversion"/>
  </si>
  <si>
    <t>Herbivory damaged stem NO</t>
    <phoneticPr fontId="3" type="noConversion"/>
  </si>
  <si>
    <t>float</t>
    <phoneticPr fontId="3" type="noConversion"/>
  </si>
  <si>
    <t>Dieback</t>
  </si>
  <si>
    <t>Pond</t>
  </si>
  <si>
    <t>Healthy_neighbor_clear</t>
  </si>
  <si>
    <t>Healthy_neighbor_non_clear</t>
  </si>
  <si>
    <t>Pond_elevated</t>
  </si>
  <si>
    <t>Juncus back to original patch</t>
  </si>
  <si>
    <t>Juncus patch</t>
    <phoneticPr fontId="3" type="noConversion"/>
  </si>
  <si>
    <t>Reading 1</t>
    <phoneticPr fontId="3" type="noConversion"/>
  </si>
  <si>
    <t>Reading 2</t>
  </si>
  <si>
    <t>Reading 3</t>
  </si>
  <si>
    <t>Reading 4</t>
  </si>
  <si>
    <t>Reading 5</t>
  </si>
  <si>
    <t>Four bladed vanes size</t>
    <phoneticPr fontId="3" type="noConversion"/>
  </si>
  <si>
    <t>50 cm</t>
  </si>
  <si>
    <t>50 cm</t>
    <phoneticPr fontId="3" type="noConversion"/>
  </si>
  <si>
    <t>20 cm</t>
  </si>
  <si>
    <t>20 cm</t>
    <phoneticPr fontId="3" type="noConversion"/>
  </si>
  <si>
    <t>Salinity_(ppt)</t>
    <phoneticPr fontId="3" type="noConversion"/>
  </si>
  <si>
    <t>raw data_Shoot No.</t>
    <phoneticPr fontId="3" type="noConversion"/>
  </si>
  <si>
    <t>raw data_Height (cm)</t>
    <phoneticPr fontId="3" type="noConversion"/>
  </si>
  <si>
    <t>NA</t>
  </si>
  <si>
    <t>dead</t>
  </si>
  <si>
    <t>orange stems</t>
  </si>
  <si>
    <t>dead and dislodged</t>
  </si>
  <si>
    <t>dead or dislodged</t>
  </si>
  <si>
    <t>Apr-19</t>
  </si>
  <si>
    <t>Apr-19</t>
    <phoneticPr fontId="3" type="noConversion"/>
  </si>
  <si>
    <t>Apr-19</t>
    <phoneticPr fontId="3" type="noConversion"/>
  </si>
  <si>
    <t>Jun-19</t>
  </si>
  <si>
    <t>Jun-19</t>
    <phoneticPr fontId="3" type="noConversion"/>
  </si>
  <si>
    <t>Jul-19</t>
  </si>
  <si>
    <t>Jul-19</t>
    <phoneticPr fontId="3" type="noConversion"/>
  </si>
  <si>
    <t>Jul-19</t>
    <phoneticPr fontId="3" type="noConversion"/>
  </si>
  <si>
    <t>Aug-19</t>
  </si>
  <si>
    <t>Aug-19</t>
    <phoneticPr fontId="3" type="noConversion"/>
  </si>
  <si>
    <t>Sep-19</t>
  </si>
  <si>
    <t>Sep-19</t>
    <phoneticPr fontId="3" type="noConversion"/>
  </si>
  <si>
    <t>Jun-20</t>
  </si>
  <si>
    <t>Jun-20</t>
    <phoneticPr fontId="3" type="noConversion"/>
  </si>
  <si>
    <t>Jun-20</t>
    <phoneticPr fontId="3" type="noConversion"/>
  </si>
  <si>
    <t>100% eaten in Mar 2020</t>
    <phoneticPr fontId="3" type="noConversion"/>
  </si>
  <si>
    <t>100% eaten in Mar 2020</t>
    <phoneticPr fontId="3" type="noConversion"/>
  </si>
  <si>
    <t>100%eaten in Mar 2020</t>
    <phoneticPr fontId="3" type="noConversion"/>
  </si>
  <si>
    <t>dead</t>
    <phoneticPr fontId="3" type="noConversion"/>
  </si>
  <si>
    <t>poor health</t>
    <phoneticPr fontId="3" type="noConversion"/>
  </si>
  <si>
    <t>dead</t>
    <phoneticPr fontId="3" type="noConversion"/>
  </si>
  <si>
    <t>on muskrat house</t>
    <phoneticPr fontId="3" type="noConversion"/>
  </si>
  <si>
    <t>fell out of the hole</t>
    <phoneticPr fontId="3" type="noConversion"/>
  </si>
  <si>
    <t>Pond_non-elevated</t>
  </si>
  <si>
    <t>Sep-20</t>
  </si>
  <si>
    <t>Sep-20</t>
    <phoneticPr fontId="3" type="noConversion"/>
  </si>
  <si>
    <t>dead - fallen over</t>
  </si>
  <si>
    <t>missing - PVC, no pots</t>
  </si>
  <si>
    <t>pink flaggng gone, guessed which plant</t>
  </si>
  <si>
    <t>Tipped over</t>
  </si>
  <si>
    <t>FCM_PC_9_Elv_a</t>
  </si>
  <si>
    <t>FCM_PC_9_Non_a</t>
  </si>
  <si>
    <t>FCM_PC_9_Elv_b</t>
  </si>
  <si>
    <t>FCM_PC_9_Non_b</t>
  </si>
  <si>
    <t>high (9)</t>
  </si>
  <si>
    <t>low</t>
  </si>
  <si>
    <t>Jun-21</t>
  </si>
  <si>
    <t>Jun-21</t>
    <phoneticPr fontId="3" type="noConversion"/>
  </si>
  <si>
    <t>dead</t>
    <phoneticPr fontId="3" type="noConversion"/>
  </si>
  <si>
    <t>NA</t>
    <phoneticPr fontId="3" type="noConversion"/>
  </si>
  <si>
    <t>thyeathy</t>
  </si>
  <si>
    <t>FCM_PC_9_Elv</t>
    <phoneticPr fontId="3" type="noConversion"/>
  </si>
  <si>
    <t>FCM_PC_9_Non</t>
    <phoneticPr fontId="3" type="noConversion"/>
  </si>
  <si>
    <t>Jul-21</t>
  </si>
  <si>
    <t>Jul-21</t>
    <phoneticPr fontId="3" type="noConversion"/>
  </si>
  <si>
    <t>Flowering</t>
    <phoneticPr fontId="3" type="noConversion"/>
  </si>
  <si>
    <t>Notes</t>
    <phoneticPr fontId="3" type="noConversion"/>
  </si>
  <si>
    <t>Month</t>
    <phoneticPr fontId="3" type="noConversion"/>
  </si>
  <si>
    <t>NA</t>
    <phoneticPr fontId="3" type="noConversion"/>
  </si>
  <si>
    <t>Lost</t>
    <phoneticPr fontId="3" type="noConversion"/>
  </si>
  <si>
    <t>Dead biomass (g)</t>
  </si>
  <si>
    <t>Live biomass (g)</t>
  </si>
  <si>
    <t>Note</t>
    <phoneticPr fontId="3" type="noConversion"/>
  </si>
  <si>
    <t>dead</t>
    <phoneticPr fontId="3" type="noConversion"/>
  </si>
  <si>
    <t>tipped over at harvest</t>
    <phoneticPr fontId="3" type="noConversion"/>
  </si>
  <si>
    <t>lost</t>
    <phoneticPr fontId="3" type="noConversion"/>
  </si>
  <si>
    <t>Healthy</t>
  </si>
  <si>
    <t>Redox (mV)</t>
  </si>
  <si>
    <t>Soil strength (kPa)</t>
  </si>
  <si>
    <t>Zone</t>
  </si>
  <si>
    <t>Soil_depth (cm)</t>
  </si>
  <si>
    <t>Pond elevated</t>
  </si>
  <si>
    <t>Pond control</t>
  </si>
  <si>
    <t>Juncus patch</t>
  </si>
  <si>
    <t>Treatment</t>
  </si>
  <si>
    <t>Neighbor intact</t>
  </si>
  <si>
    <t>Neighbor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</si>
</sst>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75B5"/>
        <bgColor rgb="FF2E75B5"/>
      </patternFill>
    </fill>
    <fill>
      <patternFill patternType="solid">
        <fgColor rgb="FFFFE598"/>
        <bgColor rgb="FFFFE598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2" fillId="0" borderId="0" xfId="0" applyFont="1"/>
    <xf numFmtId="0" fontId="5" fillId="5" borderId="0" xfId="0" applyFont="1" applyFill="1"/>
    <xf numFmtId="0" fontId="5" fillId="0" borderId="0" xfId="0" applyFont="1"/>
    <xf numFmtId="0" fontId="5" fillId="6" borderId="0" xfId="0" applyFont="1" applyFill="1"/>
    <xf numFmtId="0" fontId="5" fillId="7" borderId="0" xfId="0" applyFont="1" applyFill="1"/>
    <xf numFmtId="0" fontId="6" fillId="8" borderId="0" xfId="0" applyFont="1" applyFill="1"/>
    <xf numFmtId="0" fontId="7" fillId="0" borderId="0" xfId="0" applyFont="1"/>
    <xf numFmtId="0" fontId="7" fillId="5" borderId="0" xfId="0" applyFont="1" applyFill="1"/>
    <xf numFmtId="49" fontId="0" fillId="0" borderId="0" xfId="0" applyNumberFormat="1"/>
    <xf numFmtId="49" fontId="5" fillId="0" borderId="0" xfId="0" applyNumberFormat="1" applyFont="1"/>
    <xf numFmtId="0" fontId="7" fillId="6" borderId="0" xfId="0" applyFont="1" applyFill="1"/>
    <xf numFmtId="0" fontId="5" fillId="0" borderId="0" xfId="1" applyFont="1"/>
    <xf numFmtId="0" fontId="5" fillId="5" borderId="0" xfId="1" applyFont="1" applyFill="1"/>
    <xf numFmtId="0" fontId="5" fillId="6" borderId="0" xfId="1" applyFont="1" applyFill="1"/>
    <xf numFmtId="0" fontId="5" fillId="7" borderId="0" xfId="1" applyFont="1" applyFill="1"/>
    <xf numFmtId="0" fontId="8" fillId="0" borderId="0" xfId="1"/>
    <xf numFmtId="0" fontId="7" fillId="0" borderId="0" xfId="1" applyFont="1"/>
    <xf numFmtId="0" fontId="5" fillId="0" borderId="0" xfId="1" applyFont="1" applyAlignment="1">
      <alignment horizontal="right"/>
    </xf>
    <xf numFmtId="0" fontId="5" fillId="3" borderId="0" xfId="0" applyFont="1" applyFill="1"/>
    <xf numFmtId="0" fontId="4" fillId="4" borderId="0" xfId="0" applyFont="1" applyFill="1"/>
    <xf numFmtId="16" fontId="5" fillId="0" borderId="0" xfId="0" quotePrefix="1" applyNumberFormat="1" applyFont="1"/>
    <xf numFmtId="0" fontId="5" fillId="2" borderId="0" xfId="0" applyFont="1" applyFill="1"/>
    <xf numFmtId="49" fontId="7" fillId="0" borderId="0" xfId="0" applyNumberFormat="1" applyFont="1"/>
    <xf numFmtId="0" fontId="4" fillId="0" borderId="0" xfId="0" applyFont="1"/>
    <xf numFmtId="0" fontId="4" fillId="8" borderId="0" xfId="0" applyFont="1" applyFill="1"/>
    <xf numFmtId="0" fontId="9" fillId="0" borderId="0" xfId="0" applyFont="1"/>
    <xf numFmtId="0" fontId="10" fillId="0" borderId="0" xfId="0" applyFont="1"/>
    <xf numFmtId="0" fontId="5" fillId="4" borderId="0" xfId="0" applyFont="1" applyFill="1"/>
    <xf numFmtId="0" fontId="10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9"/>
  <sheetViews>
    <sheetView tabSelected="1" zoomScale="90" zoomScaleNormal="90"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J52" sqref="J52"/>
    </sheetView>
  </sheetViews>
  <sheetFormatPr baseColWidth="10" defaultColWidth="8.83203125" defaultRowHeight="15" x14ac:dyDescent="0.2"/>
  <cols>
    <col min="1" max="1" width="19.33203125" style="6" customWidth="1"/>
    <col min="2" max="2" width="25.6640625" style="6" customWidth="1"/>
    <col min="3" max="8" width="8.83203125" style="6"/>
    <col min="9" max="9" width="8.83203125" style="13"/>
    <col min="10" max="11" width="8.83203125" style="6"/>
    <col min="12" max="12" width="9.1640625" style="6" customWidth="1"/>
    <col min="13" max="15" width="8.83203125" style="6"/>
  </cols>
  <sheetData>
    <row r="1" spans="1:13" x14ac:dyDescent="0.2">
      <c r="A1" s="6" t="s">
        <v>0</v>
      </c>
      <c r="B1" s="6" t="s">
        <v>165</v>
      </c>
      <c r="C1" s="6" t="s">
        <v>1</v>
      </c>
      <c r="D1" s="6" t="s">
        <v>2</v>
      </c>
      <c r="I1" s="13" t="s">
        <v>70</v>
      </c>
      <c r="J1" s="6" t="s">
        <v>73</v>
      </c>
      <c r="K1" s="6" t="s">
        <v>74</v>
      </c>
      <c r="L1" s="6" t="s">
        <v>94</v>
      </c>
      <c r="M1" s="6" t="s">
        <v>95</v>
      </c>
    </row>
    <row r="2" spans="1:13" x14ac:dyDescent="0.2">
      <c r="A2" s="23" t="s">
        <v>38</v>
      </c>
      <c r="B2" s="6" t="s">
        <v>162</v>
      </c>
      <c r="C2" s="6">
        <v>30</v>
      </c>
      <c r="D2" s="6">
        <v>104</v>
      </c>
      <c r="E2" s="6">
        <v>105</v>
      </c>
      <c r="F2" s="6">
        <v>103</v>
      </c>
      <c r="G2" s="6">
        <v>102</v>
      </c>
      <c r="H2" s="6">
        <v>100</v>
      </c>
      <c r="I2" s="13" t="s">
        <v>102</v>
      </c>
    </row>
    <row r="3" spans="1:13" x14ac:dyDescent="0.2">
      <c r="A3" s="23" t="s">
        <v>39</v>
      </c>
      <c r="B3" s="6" t="s">
        <v>163</v>
      </c>
      <c r="C3" s="6">
        <v>13</v>
      </c>
      <c r="D3" s="6">
        <v>105</v>
      </c>
      <c r="E3" s="6">
        <v>98</v>
      </c>
      <c r="F3" s="6">
        <v>97</v>
      </c>
      <c r="G3" s="6">
        <v>91</v>
      </c>
      <c r="H3" s="6">
        <v>91</v>
      </c>
      <c r="I3" s="13" t="s">
        <v>103</v>
      </c>
    </row>
    <row r="4" spans="1:13" x14ac:dyDescent="0.2">
      <c r="A4" s="23" t="s">
        <v>40</v>
      </c>
      <c r="B4" s="6" t="s">
        <v>162</v>
      </c>
      <c r="C4" s="6">
        <v>37</v>
      </c>
      <c r="D4" s="6">
        <v>102</v>
      </c>
      <c r="E4" s="6">
        <v>102</v>
      </c>
      <c r="F4" s="6">
        <v>94</v>
      </c>
      <c r="G4" s="6">
        <v>90</v>
      </c>
      <c r="H4" s="6">
        <v>90</v>
      </c>
      <c r="I4" s="13" t="s">
        <v>101</v>
      </c>
    </row>
    <row r="5" spans="1:13" x14ac:dyDescent="0.2">
      <c r="A5" s="23" t="s">
        <v>41</v>
      </c>
      <c r="B5" s="6" t="s">
        <v>163</v>
      </c>
      <c r="C5" s="6">
        <v>26</v>
      </c>
      <c r="D5" s="6">
        <v>105</v>
      </c>
      <c r="E5" s="6">
        <v>105</v>
      </c>
      <c r="F5" s="6">
        <v>101</v>
      </c>
      <c r="G5" s="6">
        <v>100</v>
      </c>
      <c r="H5" s="6">
        <v>103</v>
      </c>
      <c r="I5" s="13" t="s">
        <v>101</v>
      </c>
    </row>
    <row r="6" spans="1:13" x14ac:dyDescent="0.2">
      <c r="A6" s="23" t="s">
        <v>42</v>
      </c>
      <c r="B6" s="6" t="s">
        <v>162</v>
      </c>
      <c r="C6" s="6">
        <v>26</v>
      </c>
      <c r="D6" s="6">
        <v>100</v>
      </c>
      <c r="E6" s="6">
        <v>100</v>
      </c>
      <c r="F6" s="6">
        <v>92</v>
      </c>
      <c r="G6" s="6">
        <v>92</v>
      </c>
      <c r="H6" s="6">
        <v>80</v>
      </c>
      <c r="I6" s="13" t="s">
        <v>101</v>
      </c>
    </row>
    <row r="7" spans="1:13" x14ac:dyDescent="0.2">
      <c r="A7" s="23" t="s">
        <v>43</v>
      </c>
      <c r="B7" s="6" t="s">
        <v>163</v>
      </c>
      <c r="C7" s="6">
        <v>23</v>
      </c>
      <c r="D7" s="6">
        <v>104</v>
      </c>
      <c r="E7" s="6">
        <v>103</v>
      </c>
      <c r="F7" s="6">
        <v>95</v>
      </c>
      <c r="G7" s="6">
        <v>85</v>
      </c>
      <c r="H7" s="6">
        <v>83</v>
      </c>
      <c r="I7" s="13" t="s">
        <v>101</v>
      </c>
    </row>
    <row r="8" spans="1:13" x14ac:dyDescent="0.2">
      <c r="A8" s="23" t="s">
        <v>44</v>
      </c>
      <c r="B8" s="6" t="s">
        <v>162</v>
      </c>
      <c r="C8" s="6">
        <v>24</v>
      </c>
      <c r="D8" s="6">
        <v>108</v>
      </c>
      <c r="E8" s="6">
        <v>103</v>
      </c>
      <c r="F8" s="6">
        <v>105</v>
      </c>
      <c r="G8" s="6">
        <v>98</v>
      </c>
      <c r="H8" s="6">
        <v>100</v>
      </c>
      <c r="I8" s="13" t="s">
        <v>101</v>
      </c>
    </row>
    <row r="9" spans="1:13" x14ac:dyDescent="0.2">
      <c r="A9" s="23" t="s">
        <v>45</v>
      </c>
      <c r="B9" s="6" t="s">
        <v>163</v>
      </c>
      <c r="C9" s="6">
        <v>33</v>
      </c>
      <c r="D9" s="6">
        <v>105</v>
      </c>
      <c r="E9" s="6">
        <v>101</v>
      </c>
      <c r="F9" s="6">
        <v>100</v>
      </c>
      <c r="G9" s="6">
        <v>101</v>
      </c>
      <c r="H9" s="6">
        <v>94</v>
      </c>
      <c r="I9" s="13" t="s">
        <v>101</v>
      </c>
    </row>
    <row r="10" spans="1:13" x14ac:dyDescent="0.2">
      <c r="A10" s="23" t="s">
        <v>46</v>
      </c>
      <c r="B10" s="6" t="s">
        <v>162</v>
      </c>
      <c r="C10" s="6">
        <v>38</v>
      </c>
      <c r="D10" s="6">
        <v>105</v>
      </c>
      <c r="E10" s="6">
        <v>103</v>
      </c>
      <c r="F10" s="6">
        <v>102</v>
      </c>
      <c r="G10" s="6">
        <v>102</v>
      </c>
      <c r="H10" s="6">
        <v>101</v>
      </c>
      <c r="I10" s="13" t="s">
        <v>101</v>
      </c>
    </row>
    <row r="11" spans="1:13" x14ac:dyDescent="0.2">
      <c r="A11" s="23" t="s">
        <v>47</v>
      </c>
      <c r="B11" s="6" t="s">
        <v>163</v>
      </c>
      <c r="C11" s="6">
        <v>18</v>
      </c>
      <c r="D11" s="6">
        <v>98</v>
      </c>
      <c r="E11" s="6">
        <v>92</v>
      </c>
      <c r="F11" s="6">
        <v>92</v>
      </c>
      <c r="G11" s="6">
        <v>90</v>
      </c>
      <c r="H11" s="6">
        <v>82</v>
      </c>
      <c r="I11" s="13" t="s">
        <v>101</v>
      </c>
    </row>
    <row r="12" spans="1:13" x14ac:dyDescent="0.2">
      <c r="A12" s="23" t="s">
        <v>48</v>
      </c>
      <c r="B12" s="6" t="s">
        <v>162</v>
      </c>
      <c r="C12" s="6">
        <v>25</v>
      </c>
      <c r="D12" s="6">
        <v>116</v>
      </c>
      <c r="E12" s="6">
        <v>105</v>
      </c>
      <c r="F12" s="6">
        <v>96</v>
      </c>
      <c r="G12" s="6">
        <v>98</v>
      </c>
      <c r="H12" s="6">
        <v>95</v>
      </c>
      <c r="I12" s="13" t="s">
        <v>101</v>
      </c>
    </row>
    <row r="13" spans="1:13" x14ac:dyDescent="0.2">
      <c r="A13" s="23" t="s">
        <v>49</v>
      </c>
      <c r="B13" s="6" t="s">
        <v>163</v>
      </c>
      <c r="C13" s="6">
        <v>32</v>
      </c>
      <c r="D13" s="6">
        <v>105</v>
      </c>
      <c r="E13" s="6">
        <v>105</v>
      </c>
      <c r="F13" s="6">
        <v>97</v>
      </c>
      <c r="G13" s="6">
        <v>95</v>
      </c>
      <c r="H13" s="6">
        <v>90</v>
      </c>
      <c r="I13" s="13" t="s">
        <v>101</v>
      </c>
    </row>
    <row r="14" spans="1:13" x14ac:dyDescent="0.2">
      <c r="A14" s="23" t="s">
        <v>50</v>
      </c>
      <c r="B14" s="6" t="s">
        <v>162</v>
      </c>
      <c r="C14" s="6">
        <v>33</v>
      </c>
      <c r="D14" s="6">
        <v>105</v>
      </c>
      <c r="E14" s="6">
        <v>100</v>
      </c>
      <c r="F14" s="6">
        <v>99</v>
      </c>
      <c r="G14" s="6">
        <v>98</v>
      </c>
      <c r="H14" s="6">
        <v>97</v>
      </c>
      <c r="I14" s="13" t="s">
        <v>101</v>
      </c>
    </row>
    <row r="15" spans="1:13" x14ac:dyDescent="0.2">
      <c r="A15" s="23" t="s">
        <v>51</v>
      </c>
      <c r="B15" s="6" t="s">
        <v>163</v>
      </c>
      <c r="C15" s="6">
        <v>27</v>
      </c>
      <c r="D15" s="6">
        <v>95</v>
      </c>
      <c r="E15" s="6">
        <v>88</v>
      </c>
      <c r="F15" s="6">
        <v>89</v>
      </c>
      <c r="G15" s="6">
        <v>90</v>
      </c>
      <c r="H15" s="6">
        <v>84</v>
      </c>
      <c r="I15" s="13" t="s">
        <v>101</v>
      </c>
    </row>
    <row r="16" spans="1:13" x14ac:dyDescent="0.2">
      <c r="A16" s="23" t="s">
        <v>52</v>
      </c>
      <c r="B16" s="6" t="s">
        <v>162</v>
      </c>
      <c r="C16" s="6">
        <v>24</v>
      </c>
      <c r="D16" s="6">
        <v>105</v>
      </c>
      <c r="E16" s="6">
        <v>95</v>
      </c>
      <c r="F16" s="6">
        <v>97</v>
      </c>
      <c r="G16" s="6">
        <v>98</v>
      </c>
      <c r="H16" s="6">
        <v>88</v>
      </c>
      <c r="I16" s="13" t="s">
        <v>101</v>
      </c>
    </row>
    <row r="17" spans="1:9" x14ac:dyDescent="0.2">
      <c r="A17" s="23" t="s">
        <v>53</v>
      </c>
      <c r="B17" s="6" t="s">
        <v>163</v>
      </c>
      <c r="C17" s="6">
        <v>45</v>
      </c>
      <c r="D17" s="6">
        <v>97</v>
      </c>
      <c r="E17" s="6">
        <v>87</v>
      </c>
      <c r="F17" s="6">
        <v>88</v>
      </c>
      <c r="G17" s="6">
        <v>86</v>
      </c>
      <c r="H17" s="6">
        <v>80</v>
      </c>
      <c r="I17" s="13" t="s">
        <v>101</v>
      </c>
    </row>
    <row r="18" spans="1:9" x14ac:dyDescent="0.2">
      <c r="A18" s="23" t="s">
        <v>54</v>
      </c>
      <c r="B18" s="6" t="s">
        <v>162</v>
      </c>
      <c r="C18" s="6">
        <v>34</v>
      </c>
      <c r="D18" s="6">
        <v>110</v>
      </c>
      <c r="E18" s="6">
        <v>107</v>
      </c>
      <c r="F18" s="6">
        <v>100</v>
      </c>
      <c r="G18" s="6">
        <v>95</v>
      </c>
      <c r="H18" s="6">
        <v>97</v>
      </c>
      <c r="I18" s="13" t="s">
        <v>101</v>
      </c>
    </row>
    <row r="19" spans="1:9" x14ac:dyDescent="0.2">
      <c r="A19" s="23" t="s">
        <v>55</v>
      </c>
      <c r="B19" s="6" t="s">
        <v>163</v>
      </c>
      <c r="C19" s="6">
        <v>50</v>
      </c>
      <c r="D19" s="6">
        <v>103</v>
      </c>
      <c r="E19" s="6">
        <v>103</v>
      </c>
      <c r="F19" s="6">
        <v>97</v>
      </c>
      <c r="G19" s="6">
        <v>97</v>
      </c>
      <c r="H19" s="6">
        <v>97</v>
      </c>
      <c r="I19" s="13" t="s">
        <v>101</v>
      </c>
    </row>
    <row r="20" spans="1:9" x14ac:dyDescent="0.2">
      <c r="A20" s="23" t="s">
        <v>56</v>
      </c>
      <c r="B20" s="6" t="s">
        <v>162</v>
      </c>
      <c r="C20" s="6">
        <v>29</v>
      </c>
      <c r="D20" s="6">
        <v>103</v>
      </c>
      <c r="E20" s="6">
        <v>98</v>
      </c>
      <c r="F20" s="6">
        <v>96</v>
      </c>
      <c r="G20" s="6">
        <v>95</v>
      </c>
      <c r="H20" s="6">
        <v>96</v>
      </c>
      <c r="I20" s="13" t="s">
        <v>101</v>
      </c>
    </row>
    <row r="21" spans="1:9" x14ac:dyDescent="0.2">
      <c r="A21" s="23" t="s">
        <v>57</v>
      </c>
      <c r="B21" s="6" t="s">
        <v>163</v>
      </c>
      <c r="C21" s="6">
        <v>30</v>
      </c>
      <c r="D21" s="6">
        <v>102</v>
      </c>
      <c r="E21" s="6">
        <v>97</v>
      </c>
      <c r="F21" s="6">
        <v>95</v>
      </c>
      <c r="G21" s="6">
        <v>95</v>
      </c>
      <c r="H21" s="6">
        <v>88</v>
      </c>
      <c r="I21" s="13" t="s">
        <v>101</v>
      </c>
    </row>
    <row r="22" spans="1:9" x14ac:dyDescent="0.2">
      <c r="A22" s="25" t="s">
        <v>3</v>
      </c>
      <c r="B22" s="6" t="s">
        <v>76</v>
      </c>
      <c r="C22" s="6">
        <v>22</v>
      </c>
      <c r="D22" s="6">
        <v>96</v>
      </c>
      <c r="E22" s="6">
        <v>83</v>
      </c>
      <c r="F22" s="6">
        <v>78</v>
      </c>
      <c r="G22" s="6">
        <v>74</v>
      </c>
      <c r="H22" s="6">
        <v>72</v>
      </c>
      <c r="I22" s="13" t="s">
        <v>101</v>
      </c>
    </row>
    <row r="23" spans="1:9" x14ac:dyDescent="0.2">
      <c r="A23" s="25" t="s">
        <v>4</v>
      </c>
      <c r="B23" s="6" t="s">
        <v>76</v>
      </c>
      <c r="C23" s="6">
        <v>19</v>
      </c>
      <c r="D23" s="6">
        <v>75</v>
      </c>
      <c r="E23" s="6">
        <v>77</v>
      </c>
      <c r="F23" s="6">
        <v>71</v>
      </c>
      <c r="G23" s="6">
        <v>66</v>
      </c>
      <c r="H23" s="6">
        <v>61</v>
      </c>
      <c r="I23" s="13" t="s">
        <v>101</v>
      </c>
    </row>
    <row r="24" spans="1:9" x14ac:dyDescent="0.2">
      <c r="A24" s="25" t="s">
        <v>5</v>
      </c>
      <c r="B24" s="6" t="s">
        <v>76</v>
      </c>
      <c r="C24" s="6">
        <v>23</v>
      </c>
      <c r="D24" s="6">
        <v>94</v>
      </c>
      <c r="E24" s="6">
        <v>77</v>
      </c>
      <c r="F24" s="6">
        <v>74</v>
      </c>
      <c r="G24" s="6">
        <v>78</v>
      </c>
      <c r="H24" s="6">
        <v>70</v>
      </c>
      <c r="I24" s="13" t="s">
        <v>101</v>
      </c>
    </row>
    <row r="25" spans="1:9" x14ac:dyDescent="0.2">
      <c r="A25" s="25" t="s">
        <v>6</v>
      </c>
      <c r="B25" s="6" t="s">
        <v>76</v>
      </c>
      <c r="C25" s="6">
        <v>16</v>
      </c>
      <c r="D25" s="6">
        <v>88</v>
      </c>
      <c r="E25" s="6">
        <v>74</v>
      </c>
      <c r="F25" s="6">
        <v>74</v>
      </c>
      <c r="G25" s="6">
        <v>66</v>
      </c>
      <c r="H25" s="6">
        <v>67</v>
      </c>
      <c r="I25" s="13" t="s">
        <v>101</v>
      </c>
    </row>
    <row r="26" spans="1:9" x14ac:dyDescent="0.2">
      <c r="A26" s="25" t="s">
        <v>7</v>
      </c>
      <c r="B26" s="6" t="s">
        <v>76</v>
      </c>
      <c r="C26" s="6">
        <v>22</v>
      </c>
      <c r="D26" s="6">
        <v>86</v>
      </c>
      <c r="E26" s="6">
        <v>86</v>
      </c>
      <c r="F26" s="6">
        <v>84</v>
      </c>
      <c r="G26" s="6">
        <v>81</v>
      </c>
      <c r="H26" s="6">
        <v>70</v>
      </c>
      <c r="I26" s="13" t="s">
        <v>101</v>
      </c>
    </row>
    <row r="27" spans="1:9" x14ac:dyDescent="0.2">
      <c r="A27" s="25" t="s">
        <v>8</v>
      </c>
      <c r="B27" s="6" t="s">
        <v>76</v>
      </c>
      <c r="C27" s="6">
        <v>18</v>
      </c>
      <c r="D27" s="6">
        <v>101</v>
      </c>
      <c r="E27" s="6">
        <v>92</v>
      </c>
      <c r="F27" s="6">
        <v>92</v>
      </c>
      <c r="G27" s="6">
        <v>92</v>
      </c>
      <c r="H27" s="6">
        <v>90</v>
      </c>
      <c r="I27" s="13" t="s">
        <v>101</v>
      </c>
    </row>
    <row r="28" spans="1:9" x14ac:dyDescent="0.2">
      <c r="A28" s="25" t="s">
        <v>9</v>
      </c>
      <c r="B28" s="6" t="s">
        <v>76</v>
      </c>
      <c r="C28" s="6">
        <v>11</v>
      </c>
      <c r="D28" s="6">
        <v>86</v>
      </c>
      <c r="E28" s="6">
        <v>70</v>
      </c>
      <c r="F28" s="6">
        <v>65</v>
      </c>
      <c r="G28" s="6">
        <v>60</v>
      </c>
      <c r="H28" s="6">
        <v>75</v>
      </c>
      <c r="I28" s="13" t="s">
        <v>101</v>
      </c>
    </row>
    <row r="29" spans="1:9" x14ac:dyDescent="0.2">
      <c r="A29" s="25" t="s">
        <v>10</v>
      </c>
      <c r="B29" s="6" t="s">
        <v>76</v>
      </c>
      <c r="C29" s="6">
        <v>21</v>
      </c>
      <c r="D29" s="6">
        <v>105</v>
      </c>
      <c r="E29" s="6">
        <v>100</v>
      </c>
      <c r="F29" s="6">
        <v>91</v>
      </c>
      <c r="G29" s="6">
        <v>93</v>
      </c>
      <c r="H29" s="6">
        <v>84</v>
      </c>
      <c r="I29" s="13" t="s">
        <v>101</v>
      </c>
    </row>
    <row r="30" spans="1:9" x14ac:dyDescent="0.2">
      <c r="A30" s="25" t="s">
        <v>11</v>
      </c>
      <c r="B30" s="6" t="s">
        <v>76</v>
      </c>
      <c r="C30" s="6">
        <v>36</v>
      </c>
      <c r="D30" s="6">
        <v>112</v>
      </c>
      <c r="E30" s="6">
        <v>103</v>
      </c>
      <c r="F30" s="6">
        <v>100</v>
      </c>
      <c r="G30" s="6">
        <v>93</v>
      </c>
      <c r="H30" s="6">
        <v>85</v>
      </c>
      <c r="I30" s="13" t="s">
        <v>101</v>
      </c>
    </row>
    <row r="31" spans="1:9" x14ac:dyDescent="0.2">
      <c r="A31" s="25" t="s">
        <v>12</v>
      </c>
      <c r="B31" s="6" t="s">
        <v>76</v>
      </c>
      <c r="C31" s="6">
        <v>11</v>
      </c>
      <c r="D31" s="6">
        <v>87</v>
      </c>
      <c r="E31" s="6">
        <v>86</v>
      </c>
      <c r="F31" s="6">
        <v>86</v>
      </c>
      <c r="G31" s="6">
        <v>82</v>
      </c>
      <c r="H31" s="6">
        <v>48</v>
      </c>
      <c r="I31" s="13" t="s">
        <v>101</v>
      </c>
    </row>
    <row r="32" spans="1:9" x14ac:dyDescent="0.2">
      <c r="A32" s="22" t="s">
        <v>18</v>
      </c>
      <c r="B32" s="6" t="s">
        <v>167</v>
      </c>
      <c r="C32" s="6">
        <v>12</v>
      </c>
      <c r="D32" s="6">
        <v>79</v>
      </c>
      <c r="E32" s="6">
        <v>74</v>
      </c>
      <c r="F32" s="6">
        <v>68</v>
      </c>
      <c r="G32" s="6">
        <v>65</v>
      </c>
      <c r="H32" s="6">
        <v>60</v>
      </c>
      <c r="I32" s="13" t="s">
        <v>101</v>
      </c>
    </row>
    <row r="33" spans="1:9" x14ac:dyDescent="0.2">
      <c r="A33" s="22" t="s">
        <v>19</v>
      </c>
      <c r="B33" s="6" t="s">
        <v>166</v>
      </c>
      <c r="C33" s="6">
        <v>17</v>
      </c>
      <c r="D33" s="6">
        <v>91</v>
      </c>
      <c r="E33" s="6">
        <v>87</v>
      </c>
      <c r="F33" s="6">
        <v>87</v>
      </c>
      <c r="G33" s="6">
        <v>85</v>
      </c>
      <c r="H33" s="6">
        <v>78</v>
      </c>
      <c r="I33" s="13" t="s">
        <v>101</v>
      </c>
    </row>
    <row r="34" spans="1:9" x14ac:dyDescent="0.2">
      <c r="A34" s="22" t="s">
        <v>20</v>
      </c>
      <c r="B34" s="6" t="s">
        <v>167</v>
      </c>
      <c r="C34" s="6">
        <v>28</v>
      </c>
      <c r="D34" s="6">
        <v>113</v>
      </c>
      <c r="E34" s="6">
        <v>105</v>
      </c>
      <c r="F34" s="6">
        <v>110</v>
      </c>
      <c r="G34" s="6">
        <v>107</v>
      </c>
      <c r="H34" s="6">
        <v>105</v>
      </c>
      <c r="I34" s="13" t="s">
        <v>101</v>
      </c>
    </row>
    <row r="35" spans="1:9" x14ac:dyDescent="0.2">
      <c r="A35" s="22" t="s">
        <v>21</v>
      </c>
      <c r="B35" s="6" t="s">
        <v>166</v>
      </c>
      <c r="C35" s="6">
        <v>5</v>
      </c>
      <c r="D35" s="6">
        <v>71</v>
      </c>
      <c r="E35" s="6">
        <v>65</v>
      </c>
      <c r="F35" s="6">
        <v>48</v>
      </c>
      <c r="G35" s="6">
        <v>41</v>
      </c>
      <c r="H35" s="6">
        <v>16</v>
      </c>
      <c r="I35" s="13" t="s">
        <v>101</v>
      </c>
    </row>
    <row r="36" spans="1:9" x14ac:dyDescent="0.2">
      <c r="A36" s="22" t="s">
        <v>22</v>
      </c>
      <c r="B36" s="6" t="s">
        <v>167</v>
      </c>
      <c r="C36" s="6">
        <v>35</v>
      </c>
      <c r="D36" s="6">
        <v>97</v>
      </c>
      <c r="E36" s="6">
        <v>90</v>
      </c>
      <c r="F36" s="6">
        <v>87</v>
      </c>
      <c r="G36" s="6">
        <v>83</v>
      </c>
      <c r="H36" s="6">
        <v>83</v>
      </c>
      <c r="I36" s="13" t="s">
        <v>101</v>
      </c>
    </row>
    <row r="37" spans="1:9" x14ac:dyDescent="0.2">
      <c r="A37" s="22" t="s">
        <v>23</v>
      </c>
      <c r="B37" s="6" t="s">
        <v>166</v>
      </c>
      <c r="C37" s="6">
        <v>29</v>
      </c>
      <c r="D37" s="6">
        <v>103</v>
      </c>
      <c r="E37" s="6">
        <v>100</v>
      </c>
      <c r="F37" s="6">
        <v>93</v>
      </c>
      <c r="G37" s="6">
        <v>93</v>
      </c>
      <c r="H37" s="6">
        <v>85</v>
      </c>
      <c r="I37" s="13" t="s">
        <v>101</v>
      </c>
    </row>
    <row r="38" spans="1:9" x14ac:dyDescent="0.2">
      <c r="A38" s="22" t="s">
        <v>24</v>
      </c>
      <c r="B38" s="6" t="s">
        <v>167</v>
      </c>
      <c r="C38" s="6">
        <v>10</v>
      </c>
      <c r="D38" s="6">
        <v>110</v>
      </c>
      <c r="E38" s="6">
        <v>47</v>
      </c>
      <c r="F38" s="6">
        <v>44</v>
      </c>
      <c r="G38" s="6">
        <v>40</v>
      </c>
      <c r="H38" s="6">
        <v>28</v>
      </c>
      <c r="I38" s="13" t="s">
        <v>101</v>
      </c>
    </row>
    <row r="39" spans="1:9" x14ac:dyDescent="0.2">
      <c r="A39" s="22" t="s">
        <v>25</v>
      </c>
      <c r="B39" s="6" t="s">
        <v>166</v>
      </c>
      <c r="C39" s="6">
        <v>13</v>
      </c>
      <c r="D39" s="6">
        <v>100</v>
      </c>
      <c r="E39" s="6">
        <v>100</v>
      </c>
      <c r="F39" s="6">
        <v>60</v>
      </c>
      <c r="G39" s="6">
        <v>50</v>
      </c>
      <c r="H39" s="6">
        <v>40</v>
      </c>
      <c r="I39" s="13" t="s">
        <v>101</v>
      </c>
    </row>
    <row r="40" spans="1:9" x14ac:dyDescent="0.2">
      <c r="A40" s="22" t="s">
        <v>26</v>
      </c>
      <c r="B40" s="6" t="s">
        <v>167</v>
      </c>
      <c r="C40" s="6">
        <v>28</v>
      </c>
      <c r="D40" s="6">
        <v>96</v>
      </c>
      <c r="E40" s="6">
        <v>88</v>
      </c>
      <c r="F40" s="6">
        <v>87</v>
      </c>
      <c r="G40" s="6">
        <v>86</v>
      </c>
      <c r="H40" s="6">
        <v>77</v>
      </c>
      <c r="I40" s="13" t="s">
        <v>101</v>
      </c>
    </row>
    <row r="41" spans="1:9" x14ac:dyDescent="0.2">
      <c r="A41" s="22" t="s">
        <v>27</v>
      </c>
      <c r="B41" s="6" t="s">
        <v>166</v>
      </c>
      <c r="C41" s="6">
        <v>21</v>
      </c>
      <c r="D41" s="6">
        <v>99</v>
      </c>
      <c r="E41" s="6">
        <v>99</v>
      </c>
      <c r="F41" s="6">
        <v>98</v>
      </c>
      <c r="G41" s="6">
        <v>80</v>
      </c>
      <c r="H41" s="6">
        <v>75</v>
      </c>
      <c r="I41" s="13" t="s">
        <v>101</v>
      </c>
    </row>
    <row r="42" spans="1:9" x14ac:dyDescent="0.2">
      <c r="A42" s="22" t="s">
        <v>28</v>
      </c>
      <c r="B42" s="6" t="s">
        <v>167</v>
      </c>
      <c r="C42" s="6">
        <v>16</v>
      </c>
      <c r="D42" s="6">
        <v>107</v>
      </c>
      <c r="E42" s="6">
        <v>97</v>
      </c>
      <c r="F42" s="6">
        <v>97</v>
      </c>
      <c r="G42" s="6">
        <v>92</v>
      </c>
      <c r="H42" s="6">
        <v>91</v>
      </c>
      <c r="I42" s="13" t="s">
        <v>101</v>
      </c>
    </row>
    <row r="43" spans="1:9" x14ac:dyDescent="0.2">
      <c r="A43" s="22" t="s">
        <v>29</v>
      </c>
      <c r="B43" s="6" t="s">
        <v>166</v>
      </c>
      <c r="C43" s="6">
        <v>18</v>
      </c>
      <c r="D43" s="6">
        <v>103</v>
      </c>
      <c r="E43" s="6">
        <v>104</v>
      </c>
      <c r="F43" s="6">
        <v>98</v>
      </c>
      <c r="G43" s="6">
        <v>96</v>
      </c>
      <c r="H43" s="6">
        <v>77</v>
      </c>
      <c r="I43" s="13" t="s">
        <v>101</v>
      </c>
    </row>
    <row r="44" spans="1:9" x14ac:dyDescent="0.2">
      <c r="A44" s="22" t="s">
        <v>30</v>
      </c>
      <c r="B44" s="6" t="s">
        <v>167</v>
      </c>
      <c r="C44" s="6">
        <v>11</v>
      </c>
      <c r="D44" s="6">
        <v>96</v>
      </c>
      <c r="E44" s="6">
        <v>90</v>
      </c>
      <c r="F44" s="6">
        <v>85</v>
      </c>
      <c r="G44" s="6">
        <v>74</v>
      </c>
      <c r="H44" s="6">
        <v>71</v>
      </c>
      <c r="I44" s="13" t="s">
        <v>101</v>
      </c>
    </row>
    <row r="45" spans="1:9" x14ac:dyDescent="0.2">
      <c r="A45" s="22" t="s">
        <v>31</v>
      </c>
      <c r="B45" s="6" t="s">
        <v>166</v>
      </c>
      <c r="C45" s="6">
        <v>22</v>
      </c>
      <c r="D45" s="6">
        <v>108</v>
      </c>
      <c r="E45" s="6">
        <v>93</v>
      </c>
      <c r="F45" s="6">
        <v>59</v>
      </c>
      <c r="G45" s="6">
        <v>59</v>
      </c>
      <c r="H45" s="6">
        <v>54</v>
      </c>
      <c r="I45" s="13" t="s">
        <v>101</v>
      </c>
    </row>
    <row r="46" spans="1:9" x14ac:dyDescent="0.2">
      <c r="A46" s="22" t="s">
        <v>32</v>
      </c>
      <c r="B46" s="6" t="s">
        <v>167</v>
      </c>
      <c r="C46" s="6">
        <v>20</v>
      </c>
      <c r="D46" s="6">
        <v>105</v>
      </c>
      <c r="E46" s="6">
        <v>92</v>
      </c>
      <c r="F46" s="6">
        <v>91</v>
      </c>
      <c r="G46" s="6">
        <v>82</v>
      </c>
      <c r="H46" s="6">
        <v>84</v>
      </c>
      <c r="I46" s="13" t="s">
        <v>101</v>
      </c>
    </row>
    <row r="47" spans="1:9" x14ac:dyDescent="0.2">
      <c r="A47" s="22" t="s">
        <v>33</v>
      </c>
      <c r="B47" s="6" t="s">
        <v>166</v>
      </c>
      <c r="C47" s="6">
        <v>24</v>
      </c>
      <c r="D47" s="6">
        <v>106</v>
      </c>
      <c r="E47" s="6">
        <v>83</v>
      </c>
      <c r="F47" s="6">
        <v>80</v>
      </c>
      <c r="G47" s="6">
        <v>80</v>
      </c>
      <c r="H47" s="6">
        <v>81</v>
      </c>
      <c r="I47" s="13" t="s">
        <v>101</v>
      </c>
    </row>
    <row r="48" spans="1:9" x14ac:dyDescent="0.2">
      <c r="A48" s="22" t="s">
        <v>34</v>
      </c>
      <c r="B48" s="6" t="s">
        <v>167</v>
      </c>
      <c r="C48" s="6">
        <v>23</v>
      </c>
      <c r="D48" s="6">
        <v>105</v>
      </c>
      <c r="E48" s="6">
        <v>94</v>
      </c>
      <c r="F48" s="6">
        <v>97</v>
      </c>
      <c r="G48" s="6">
        <v>95</v>
      </c>
      <c r="H48" s="6">
        <v>92</v>
      </c>
      <c r="I48" s="13" t="s">
        <v>101</v>
      </c>
    </row>
    <row r="49" spans="1:10" x14ac:dyDescent="0.2">
      <c r="A49" s="22" t="s">
        <v>35</v>
      </c>
      <c r="B49" s="6" t="s">
        <v>166</v>
      </c>
      <c r="C49" s="6">
        <v>10</v>
      </c>
      <c r="D49" s="6">
        <v>97</v>
      </c>
      <c r="E49" s="6">
        <v>88</v>
      </c>
      <c r="F49" s="6">
        <v>57</v>
      </c>
      <c r="G49" s="6">
        <v>61</v>
      </c>
      <c r="H49" s="6">
        <v>41</v>
      </c>
      <c r="I49" s="13" t="s">
        <v>101</v>
      </c>
    </row>
    <row r="50" spans="1:10" x14ac:dyDescent="0.2">
      <c r="A50" s="22" t="s">
        <v>36</v>
      </c>
      <c r="B50" s="6" t="s">
        <v>167</v>
      </c>
      <c r="C50" s="6">
        <v>30</v>
      </c>
      <c r="D50" s="6">
        <v>96</v>
      </c>
      <c r="E50" s="6">
        <v>90</v>
      </c>
      <c r="F50" s="6">
        <v>87</v>
      </c>
      <c r="G50" s="6">
        <v>85</v>
      </c>
      <c r="H50" s="6">
        <v>82</v>
      </c>
      <c r="I50" s="13" t="s">
        <v>101</v>
      </c>
    </row>
    <row r="51" spans="1:10" x14ac:dyDescent="0.2">
      <c r="A51" s="22" t="s">
        <v>37</v>
      </c>
      <c r="B51" s="6" t="s">
        <v>166</v>
      </c>
      <c r="C51" s="6">
        <v>15</v>
      </c>
      <c r="D51" s="6">
        <v>96</v>
      </c>
      <c r="E51" s="6">
        <v>67</v>
      </c>
      <c r="F51" s="6">
        <v>60</v>
      </c>
      <c r="G51" s="6">
        <v>56</v>
      </c>
      <c r="H51" s="6">
        <v>54</v>
      </c>
      <c r="I51" s="13" t="s">
        <v>101</v>
      </c>
    </row>
    <row r="52" spans="1:10" x14ac:dyDescent="0.2">
      <c r="A52" s="6" t="s">
        <v>14</v>
      </c>
      <c r="B52" s="6" t="s">
        <v>164</v>
      </c>
      <c r="C52" s="6">
        <v>20</v>
      </c>
      <c r="D52" s="6">
        <v>106</v>
      </c>
      <c r="E52" s="6">
        <v>105</v>
      </c>
      <c r="F52" s="6">
        <v>95</v>
      </c>
      <c r="G52" s="6">
        <v>84</v>
      </c>
      <c r="H52" s="6">
        <v>81</v>
      </c>
      <c r="I52" s="13" t="s">
        <v>101</v>
      </c>
    </row>
    <row r="53" spans="1:10" x14ac:dyDescent="0.2">
      <c r="A53" s="6" t="s">
        <v>15</v>
      </c>
      <c r="B53" s="6" t="s">
        <v>164</v>
      </c>
      <c r="C53" s="6">
        <v>20</v>
      </c>
      <c r="D53" s="6">
        <v>87</v>
      </c>
      <c r="E53" s="6">
        <v>82</v>
      </c>
      <c r="F53" s="6">
        <v>82</v>
      </c>
      <c r="G53" s="6">
        <v>75</v>
      </c>
      <c r="H53" s="6">
        <v>72</v>
      </c>
      <c r="I53" s="13" t="s">
        <v>101</v>
      </c>
    </row>
    <row r="54" spans="1:10" x14ac:dyDescent="0.2">
      <c r="A54" s="6" t="s">
        <v>16</v>
      </c>
      <c r="B54" s="6" t="s">
        <v>164</v>
      </c>
      <c r="C54" s="6">
        <v>20</v>
      </c>
      <c r="D54" s="6">
        <v>85</v>
      </c>
      <c r="E54" s="6">
        <v>84</v>
      </c>
      <c r="F54" s="6">
        <v>80</v>
      </c>
      <c r="G54" s="6">
        <v>78</v>
      </c>
      <c r="H54" s="6">
        <v>69</v>
      </c>
      <c r="I54" s="13" t="s">
        <v>101</v>
      </c>
    </row>
    <row r="55" spans="1:10" x14ac:dyDescent="0.2">
      <c r="A55" s="6" t="s">
        <v>17</v>
      </c>
      <c r="B55" s="6" t="s">
        <v>164</v>
      </c>
      <c r="C55" s="6">
        <v>24</v>
      </c>
      <c r="D55" s="6">
        <v>107</v>
      </c>
      <c r="E55" s="6">
        <v>91</v>
      </c>
      <c r="F55" s="6">
        <v>90</v>
      </c>
      <c r="G55" s="6">
        <v>86</v>
      </c>
      <c r="H55" s="6">
        <v>84</v>
      </c>
      <c r="I55" s="13" t="s">
        <v>101</v>
      </c>
    </row>
    <row r="56" spans="1:10" x14ac:dyDescent="0.2">
      <c r="A56" s="6" t="s">
        <v>58</v>
      </c>
      <c r="B56" s="6" t="s">
        <v>164</v>
      </c>
      <c r="C56" s="6">
        <v>48</v>
      </c>
      <c r="D56" s="6">
        <v>97</v>
      </c>
      <c r="E56" s="6">
        <v>95</v>
      </c>
      <c r="F56" s="6">
        <v>95</v>
      </c>
      <c r="G56" s="6">
        <v>85</v>
      </c>
      <c r="H56" s="6">
        <v>84</v>
      </c>
      <c r="I56" s="13" t="s">
        <v>101</v>
      </c>
    </row>
    <row r="57" spans="1:10" x14ac:dyDescent="0.2">
      <c r="A57" s="6" t="s">
        <v>59</v>
      </c>
      <c r="B57" s="6" t="s">
        <v>164</v>
      </c>
      <c r="C57" s="6">
        <v>23</v>
      </c>
      <c r="D57" s="6">
        <v>90</v>
      </c>
      <c r="E57" s="6">
        <v>90</v>
      </c>
      <c r="F57" s="6">
        <v>74</v>
      </c>
      <c r="G57" s="6">
        <v>75</v>
      </c>
      <c r="H57" s="6">
        <v>76</v>
      </c>
      <c r="I57" s="13" t="s">
        <v>101</v>
      </c>
    </row>
    <row r="58" spans="1:10" x14ac:dyDescent="0.2">
      <c r="A58" s="23" t="s">
        <v>38</v>
      </c>
      <c r="B58" s="6" t="s">
        <v>162</v>
      </c>
      <c r="C58" s="6">
        <v>31</v>
      </c>
      <c r="D58" s="6">
        <v>99</v>
      </c>
      <c r="E58" s="6">
        <v>99</v>
      </c>
      <c r="F58" s="6">
        <v>94</v>
      </c>
      <c r="G58" s="6">
        <v>92</v>
      </c>
      <c r="H58" s="6">
        <v>91</v>
      </c>
      <c r="I58" s="13" t="s">
        <v>105</v>
      </c>
    </row>
    <row r="59" spans="1:10" x14ac:dyDescent="0.2">
      <c r="A59" s="23" t="s">
        <v>39</v>
      </c>
      <c r="B59" s="6" t="s">
        <v>163</v>
      </c>
      <c r="C59" s="6">
        <v>13</v>
      </c>
      <c r="D59" s="6">
        <v>92</v>
      </c>
      <c r="E59" s="6">
        <v>74</v>
      </c>
      <c r="F59" s="6">
        <v>74</v>
      </c>
      <c r="G59" s="6">
        <v>60</v>
      </c>
      <c r="H59" s="6">
        <v>58</v>
      </c>
      <c r="I59" s="13" t="s">
        <v>105</v>
      </c>
      <c r="J59" s="6" t="s">
        <v>62</v>
      </c>
    </row>
    <row r="60" spans="1:10" x14ac:dyDescent="0.2">
      <c r="A60" s="23" t="s">
        <v>40</v>
      </c>
      <c r="B60" s="6" t="s">
        <v>162</v>
      </c>
      <c r="C60" s="6">
        <v>41</v>
      </c>
      <c r="D60" s="6">
        <v>93</v>
      </c>
      <c r="E60" s="6">
        <v>84</v>
      </c>
      <c r="F60" s="6">
        <v>82</v>
      </c>
      <c r="G60" s="6">
        <v>79</v>
      </c>
      <c r="H60" s="6">
        <v>77</v>
      </c>
      <c r="I60" s="13" t="s">
        <v>104</v>
      </c>
      <c r="J60" s="6" t="s">
        <v>62</v>
      </c>
    </row>
    <row r="61" spans="1:10" x14ac:dyDescent="0.2">
      <c r="A61" s="23" t="s">
        <v>41</v>
      </c>
      <c r="B61" s="6" t="s">
        <v>163</v>
      </c>
      <c r="C61" s="6">
        <v>21</v>
      </c>
      <c r="D61" s="6">
        <v>80</v>
      </c>
      <c r="E61" s="6">
        <v>80</v>
      </c>
      <c r="F61" s="6">
        <v>86</v>
      </c>
      <c r="G61" s="6">
        <v>99</v>
      </c>
      <c r="H61" s="6">
        <v>108</v>
      </c>
      <c r="I61" s="13" t="s">
        <v>104</v>
      </c>
      <c r="J61" s="6" t="s">
        <v>63</v>
      </c>
    </row>
    <row r="62" spans="1:10" x14ac:dyDescent="0.2">
      <c r="A62" s="23" t="s">
        <v>42</v>
      </c>
      <c r="B62" s="6" t="s">
        <v>162</v>
      </c>
      <c r="C62" s="6">
        <v>24</v>
      </c>
      <c r="D62" s="6">
        <v>85</v>
      </c>
      <c r="E62" s="6">
        <v>88</v>
      </c>
      <c r="F62" s="6">
        <v>82</v>
      </c>
      <c r="G62" s="6">
        <v>81</v>
      </c>
      <c r="H62" s="6">
        <v>81</v>
      </c>
      <c r="I62" s="13" t="s">
        <v>104</v>
      </c>
    </row>
    <row r="63" spans="1:10" x14ac:dyDescent="0.2">
      <c r="A63" s="23" t="s">
        <v>43</v>
      </c>
      <c r="B63" s="6" t="s">
        <v>163</v>
      </c>
      <c r="C63" s="6">
        <v>10</v>
      </c>
      <c r="D63" s="6">
        <v>71</v>
      </c>
      <c r="E63" s="6">
        <v>69</v>
      </c>
      <c r="F63" s="6">
        <v>59</v>
      </c>
      <c r="G63" s="6">
        <v>44</v>
      </c>
      <c r="H63" s="6">
        <v>40</v>
      </c>
      <c r="I63" s="13" t="s">
        <v>104</v>
      </c>
    </row>
    <row r="64" spans="1:10" x14ac:dyDescent="0.2">
      <c r="A64" s="23" t="s">
        <v>44</v>
      </c>
      <c r="B64" s="6" t="s">
        <v>162</v>
      </c>
      <c r="C64" s="6">
        <v>31</v>
      </c>
      <c r="D64" s="6">
        <v>59</v>
      </c>
      <c r="E64" s="6">
        <v>69</v>
      </c>
      <c r="F64" s="6">
        <v>71</v>
      </c>
      <c r="G64" s="6">
        <v>91</v>
      </c>
      <c r="H64" s="6">
        <v>103</v>
      </c>
      <c r="I64" s="13" t="s">
        <v>104</v>
      </c>
      <c r="J64" s="6" t="s">
        <v>64</v>
      </c>
    </row>
    <row r="65" spans="1:10" x14ac:dyDescent="0.2">
      <c r="A65" s="23" t="s">
        <v>45</v>
      </c>
      <c r="B65" s="6" t="s">
        <v>163</v>
      </c>
      <c r="C65" s="6">
        <v>16</v>
      </c>
      <c r="D65" s="6">
        <v>89</v>
      </c>
      <c r="E65" s="6">
        <v>87</v>
      </c>
      <c r="F65" s="6">
        <v>97</v>
      </c>
      <c r="G65" s="6">
        <v>99</v>
      </c>
      <c r="H65" s="6">
        <v>105</v>
      </c>
      <c r="I65" s="13" t="s">
        <v>104</v>
      </c>
      <c r="J65" s="6" t="s">
        <v>65</v>
      </c>
    </row>
    <row r="66" spans="1:10" x14ac:dyDescent="0.2">
      <c r="A66" s="23" t="s">
        <v>46</v>
      </c>
      <c r="B66" s="6" t="s">
        <v>162</v>
      </c>
      <c r="C66" s="6">
        <v>35</v>
      </c>
      <c r="D66" s="6">
        <v>94</v>
      </c>
      <c r="E66" s="6">
        <v>89</v>
      </c>
      <c r="F66" s="6">
        <v>89</v>
      </c>
      <c r="G66" s="6">
        <v>86</v>
      </c>
      <c r="H66" s="6">
        <v>84</v>
      </c>
      <c r="I66" s="13" t="s">
        <v>104</v>
      </c>
    </row>
    <row r="67" spans="1:10" x14ac:dyDescent="0.2">
      <c r="A67" s="23" t="s">
        <v>47</v>
      </c>
      <c r="B67" s="6" t="s">
        <v>163</v>
      </c>
      <c r="C67" s="6">
        <v>12</v>
      </c>
      <c r="D67" s="6">
        <v>70</v>
      </c>
      <c r="E67" s="6">
        <v>71</v>
      </c>
      <c r="F67" s="6">
        <v>83</v>
      </c>
      <c r="G67" s="6">
        <v>86</v>
      </c>
      <c r="H67" s="6">
        <v>94</v>
      </c>
      <c r="I67" s="13" t="s">
        <v>104</v>
      </c>
    </row>
    <row r="68" spans="1:10" x14ac:dyDescent="0.2">
      <c r="A68" s="23" t="s">
        <v>48</v>
      </c>
      <c r="B68" s="6" t="s">
        <v>162</v>
      </c>
      <c r="C68" s="6">
        <v>25</v>
      </c>
      <c r="D68" s="6">
        <v>82</v>
      </c>
      <c r="E68" s="6">
        <v>94</v>
      </c>
      <c r="F68" s="6">
        <v>97</v>
      </c>
      <c r="G68" s="6">
        <v>99</v>
      </c>
      <c r="H68" s="6">
        <v>101</v>
      </c>
      <c r="I68" s="13" t="s">
        <v>104</v>
      </c>
    </row>
    <row r="69" spans="1:10" x14ac:dyDescent="0.2">
      <c r="A69" s="23" t="s">
        <v>49</v>
      </c>
      <c r="B69" s="6" t="s">
        <v>163</v>
      </c>
      <c r="C69" s="6">
        <v>26</v>
      </c>
      <c r="D69" s="6">
        <v>94</v>
      </c>
      <c r="E69" s="6">
        <v>87</v>
      </c>
      <c r="F69" s="6">
        <v>77</v>
      </c>
      <c r="G69" s="6">
        <v>75</v>
      </c>
      <c r="H69" s="6">
        <v>74</v>
      </c>
      <c r="I69" s="13" t="s">
        <v>104</v>
      </c>
    </row>
    <row r="70" spans="1:10" x14ac:dyDescent="0.2">
      <c r="A70" s="23" t="s">
        <v>50</v>
      </c>
      <c r="B70" s="6" t="s">
        <v>162</v>
      </c>
      <c r="C70" s="6">
        <v>34</v>
      </c>
      <c r="D70" s="6">
        <v>92</v>
      </c>
      <c r="E70" s="6">
        <v>91</v>
      </c>
      <c r="F70" s="6">
        <v>88</v>
      </c>
      <c r="G70" s="6">
        <v>88</v>
      </c>
      <c r="H70" s="6">
        <v>87</v>
      </c>
      <c r="I70" s="13" t="s">
        <v>104</v>
      </c>
    </row>
    <row r="71" spans="1:10" x14ac:dyDescent="0.2">
      <c r="A71" s="23" t="s">
        <v>51</v>
      </c>
      <c r="B71" s="6" t="s">
        <v>163</v>
      </c>
      <c r="C71" s="6">
        <v>17</v>
      </c>
      <c r="D71" s="6">
        <v>96</v>
      </c>
      <c r="E71" s="6">
        <v>95</v>
      </c>
      <c r="F71" s="6">
        <v>95</v>
      </c>
      <c r="G71" s="6">
        <v>84</v>
      </c>
      <c r="H71" s="6">
        <v>83</v>
      </c>
      <c r="I71" s="13" t="s">
        <v>104</v>
      </c>
    </row>
    <row r="72" spans="1:10" x14ac:dyDescent="0.2">
      <c r="A72" s="23" t="s">
        <v>52</v>
      </c>
      <c r="B72" s="6" t="s">
        <v>162</v>
      </c>
      <c r="C72" s="6">
        <v>23</v>
      </c>
      <c r="D72" s="6">
        <v>76</v>
      </c>
      <c r="E72" s="6">
        <v>84</v>
      </c>
      <c r="F72" s="6">
        <v>94</v>
      </c>
      <c r="G72" s="6">
        <v>95</v>
      </c>
      <c r="H72" s="6">
        <v>96</v>
      </c>
      <c r="I72" s="13" t="s">
        <v>104</v>
      </c>
      <c r="J72" s="6" t="s">
        <v>66</v>
      </c>
    </row>
    <row r="73" spans="1:10" x14ac:dyDescent="0.2">
      <c r="A73" s="23" t="s">
        <v>53</v>
      </c>
      <c r="B73" s="6" t="s">
        <v>163</v>
      </c>
      <c r="C73" s="6">
        <v>27</v>
      </c>
      <c r="D73" s="6">
        <v>86</v>
      </c>
      <c r="E73" s="6">
        <v>83</v>
      </c>
      <c r="F73" s="6">
        <v>82</v>
      </c>
      <c r="G73" s="6">
        <v>77</v>
      </c>
      <c r="H73" s="6">
        <v>74</v>
      </c>
      <c r="I73" s="13" t="s">
        <v>104</v>
      </c>
    </row>
    <row r="74" spans="1:10" x14ac:dyDescent="0.2">
      <c r="A74" s="23" t="s">
        <v>54</v>
      </c>
      <c r="B74" s="6" t="s">
        <v>162</v>
      </c>
      <c r="C74" s="6">
        <v>42</v>
      </c>
      <c r="D74" s="6">
        <v>110</v>
      </c>
      <c r="E74" s="6">
        <v>97</v>
      </c>
      <c r="F74" s="6">
        <v>97</v>
      </c>
      <c r="G74" s="6">
        <v>95</v>
      </c>
      <c r="H74" s="6">
        <v>103</v>
      </c>
      <c r="I74" s="13" t="s">
        <v>104</v>
      </c>
      <c r="J74" s="6" t="s">
        <v>67</v>
      </c>
    </row>
    <row r="75" spans="1:10" x14ac:dyDescent="0.2">
      <c r="A75" s="23" t="s">
        <v>55</v>
      </c>
      <c r="B75" s="6" t="s">
        <v>163</v>
      </c>
      <c r="C75" s="6">
        <v>48</v>
      </c>
      <c r="D75" s="6">
        <v>110</v>
      </c>
      <c r="E75" s="6">
        <v>95</v>
      </c>
      <c r="F75" s="6">
        <v>93</v>
      </c>
      <c r="G75" s="6">
        <v>87</v>
      </c>
      <c r="H75" s="6">
        <v>84</v>
      </c>
      <c r="I75" s="13" t="s">
        <v>104</v>
      </c>
      <c r="J75" s="6" t="s">
        <v>68</v>
      </c>
    </row>
    <row r="76" spans="1:10" x14ac:dyDescent="0.2">
      <c r="A76" s="23" t="s">
        <v>56</v>
      </c>
      <c r="B76" s="6" t="s">
        <v>162</v>
      </c>
      <c r="C76" s="6">
        <v>33</v>
      </c>
      <c r="D76" s="6">
        <v>91</v>
      </c>
      <c r="E76" s="6">
        <v>92</v>
      </c>
      <c r="F76" s="6">
        <v>94</v>
      </c>
      <c r="G76" s="6">
        <v>102</v>
      </c>
      <c r="H76" s="6">
        <v>110</v>
      </c>
      <c r="I76" s="13" t="s">
        <v>104</v>
      </c>
    </row>
    <row r="77" spans="1:10" x14ac:dyDescent="0.2">
      <c r="A77" s="23" t="s">
        <v>57</v>
      </c>
      <c r="B77" s="6" t="s">
        <v>163</v>
      </c>
      <c r="C77" s="6">
        <v>22</v>
      </c>
      <c r="D77" s="6">
        <v>89</v>
      </c>
      <c r="E77" s="6">
        <v>86</v>
      </c>
      <c r="F77" s="6">
        <v>89</v>
      </c>
      <c r="G77" s="6">
        <v>77</v>
      </c>
      <c r="H77" s="6">
        <v>78</v>
      </c>
      <c r="I77" s="13" t="s">
        <v>104</v>
      </c>
    </row>
    <row r="78" spans="1:10" x14ac:dyDescent="0.2">
      <c r="A78" s="25" t="s">
        <v>3</v>
      </c>
      <c r="B78" s="6" t="s">
        <v>76</v>
      </c>
      <c r="C78" s="6">
        <v>30</v>
      </c>
      <c r="D78" s="6">
        <v>79</v>
      </c>
      <c r="E78" s="6">
        <v>77</v>
      </c>
      <c r="F78" s="6">
        <v>76</v>
      </c>
      <c r="G78" s="6">
        <v>73</v>
      </c>
      <c r="H78" s="6">
        <v>84</v>
      </c>
      <c r="I78" s="13" t="s">
        <v>104</v>
      </c>
    </row>
    <row r="79" spans="1:10" x14ac:dyDescent="0.2">
      <c r="A79" s="25" t="s">
        <v>4</v>
      </c>
      <c r="B79" s="6" t="s">
        <v>76</v>
      </c>
      <c r="C79" s="6">
        <v>22</v>
      </c>
      <c r="D79" s="6">
        <v>68</v>
      </c>
      <c r="E79" s="6">
        <v>76</v>
      </c>
      <c r="F79" s="6">
        <v>71</v>
      </c>
      <c r="G79" s="6">
        <v>75</v>
      </c>
      <c r="H79" s="6">
        <v>82</v>
      </c>
      <c r="I79" s="13" t="s">
        <v>104</v>
      </c>
    </row>
    <row r="80" spans="1:10" x14ac:dyDescent="0.2">
      <c r="A80" s="25" t="s">
        <v>5</v>
      </c>
      <c r="B80" s="6" t="s">
        <v>76</v>
      </c>
      <c r="C80" s="6">
        <v>34</v>
      </c>
      <c r="D80" s="6">
        <v>85</v>
      </c>
      <c r="E80" s="6">
        <v>77</v>
      </c>
      <c r="F80" s="6">
        <v>82</v>
      </c>
      <c r="G80" s="6">
        <v>83</v>
      </c>
      <c r="H80" s="6">
        <v>79</v>
      </c>
      <c r="I80" s="13" t="s">
        <v>104</v>
      </c>
    </row>
    <row r="81" spans="1:16" x14ac:dyDescent="0.2">
      <c r="A81" s="25" t="s">
        <v>6</v>
      </c>
      <c r="B81" s="6" t="s">
        <v>76</v>
      </c>
      <c r="C81" s="6">
        <v>20</v>
      </c>
      <c r="D81" s="6">
        <v>60</v>
      </c>
      <c r="E81" s="6">
        <v>69</v>
      </c>
      <c r="F81" s="6">
        <v>65</v>
      </c>
      <c r="G81" s="6">
        <v>73</v>
      </c>
      <c r="H81" s="6">
        <v>79</v>
      </c>
      <c r="I81" s="13" t="s">
        <v>104</v>
      </c>
    </row>
    <row r="82" spans="1:16" x14ac:dyDescent="0.2">
      <c r="A82" s="25" t="s">
        <v>7</v>
      </c>
      <c r="B82" s="6" t="s">
        <v>76</v>
      </c>
      <c r="C82" s="6">
        <v>26</v>
      </c>
      <c r="D82" s="6">
        <v>73</v>
      </c>
      <c r="E82" s="6">
        <v>79</v>
      </c>
      <c r="F82" s="6">
        <v>85</v>
      </c>
      <c r="G82" s="6">
        <v>86</v>
      </c>
      <c r="H82" s="6">
        <v>89</v>
      </c>
      <c r="I82" s="13" t="s">
        <v>104</v>
      </c>
    </row>
    <row r="83" spans="1:16" x14ac:dyDescent="0.2">
      <c r="A83" s="25" t="s">
        <v>8</v>
      </c>
      <c r="B83" s="6" t="s">
        <v>76</v>
      </c>
      <c r="C83" s="6">
        <v>15</v>
      </c>
      <c r="D83" s="6">
        <v>74</v>
      </c>
      <c r="E83" s="6">
        <v>73</v>
      </c>
      <c r="F83" s="6">
        <v>75</v>
      </c>
      <c r="G83" s="6">
        <v>83</v>
      </c>
      <c r="H83" s="6">
        <v>86</v>
      </c>
      <c r="I83" s="13" t="s">
        <v>104</v>
      </c>
    </row>
    <row r="84" spans="1:16" x14ac:dyDescent="0.2">
      <c r="A84" s="25" t="s">
        <v>9</v>
      </c>
      <c r="B84" s="6" t="s">
        <v>76</v>
      </c>
      <c r="C84" s="6">
        <v>15</v>
      </c>
      <c r="D84" s="6">
        <v>60</v>
      </c>
      <c r="E84" s="6">
        <v>59</v>
      </c>
      <c r="F84" s="6">
        <v>56</v>
      </c>
      <c r="G84" s="6">
        <v>72</v>
      </c>
      <c r="H84" s="6">
        <v>73</v>
      </c>
      <c r="I84" s="13" t="s">
        <v>104</v>
      </c>
    </row>
    <row r="85" spans="1:16" x14ac:dyDescent="0.2">
      <c r="A85" s="25" t="s">
        <v>10</v>
      </c>
      <c r="B85" s="6" t="s">
        <v>76</v>
      </c>
      <c r="C85" s="6">
        <v>31</v>
      </c>
      <c r="D85" s="6">
        <v>73</v>
      </c>
      <c r="E85" s="6">
        <v>76</v>
      </c>
      <c r="F85" s="6">
        <v>92</v>
      </c>
      <c r="G85" s="6">
        <v>101</v>
      </c>
      <c r="H85" s="6">
        <v>73</v>
      </c>
      <c r="I85" s="13" t="s">
        <v>104</v>
      </c>
    </row>
    <row r="86" spans="1:16" x14ac:dyDescent="0.2">
      <c r="A86" s="25" t="s">
        <v>11</v>
      </c>
      <c r="B86" s="6" t="s">
        <v>76</v>
      </c>
      <c r="C86" s="6">
        <v>43</v>
      </c>
      <c r="D86" s="6">
        <v>94</v>
      </c>
      <c r="E86" s="6">
        <v>98</v>
      </c>
      <c r="F86" s="6">
        <v>96</v>
      </c>
      <c r="G86" s="6">
        <v>97</v>
      </c>
      <c r="H86" s="6">
        <v>94</v>
      </c>
      <c r="I86" s="13" t="s">
        <v>104</v>
      </c>
    </row>
    <row r="87" spans="1:16" x14ac:dyDescent="0.2">
      <c r="A87" s="25" t="s">
        <v>12</v>
      </c>
      <c r="B87" s="6" t="s">
        <v>76</v>
      </c>
      <c r="C87" s="6">
        <v>15</v>
      </c>
      <c r="D87" s="6">
        <v>71</v>
      </c>
      <c r="E87" s="6">
        <v>77</v>
      </c>
      <c r="F87" s="6">
        <v>78</v>
      </c>
      <c r="G87" s="6">
        <v>81</v>
      </c>
      <c r="H87" s="6">
        <v>86</v>
      </c>
      <c r="I87" s="13" t="s">
        <v>104</v>
      </c>
    </row>
    <row r="88" spans="1:16" x14ac:dyDescent="0.2">
      <c r="A88" s="22" t="s">
        <v>18</v>
      </c>
      <c r="B88" s="6" t="s">
        <v>167</v>
      </c>
      <c r="C88" s="6">
        <v>17</v>
      </c>
      <c r="D88" s="6">
        <v>52</v>
      </c>
      <c r="E88" s="6">
        <v>73</v>
      </c>
      <c r="F88" s="6">
        <v>76</v>
      </c>
      <c r="G88" s="6">
        <v>85</v>
      </c>
      <c r="H88" s="6">
        <v>86</v>
      </c>
      <c r="I88" s="13" t="s">
        <v>104</v>
      </c>
    </row>
    <row r="89" spans="1:16" x14ac:dyDescent="0.2">
      <c r="A89" s="22" t="s">
        <v>19</v>
      </c>
      <c r="B89" s="6" t="s">
        <v>166</v>
      </c>
      <c r="C89" s="6">
        <v>12</v>
      </c>
      <c r="D89" s="6">
        <v>51</v>
      </c>
      <c r="E89" s="6">
        <v>56</v>
      </c>
      <c r="F89" s="6">
        <v>70</v>
      </c>
      <c r="G89" s="6">
        <v>83</v>
      </c>
      <c r="H89" s="6">
        <v>88</v>
      </c>
      <c r="I89" s="13" t="s">
        <v>104</v>
      </c>
    </row>
    <row r="90" spans="1:16" x14ac:dyDescent="0.2">
      <c r="A90" s="22" t="s">
        <v>20</v>
      </c>
      <c r="B90" s="6" t="s">
        <v>167</v>
      </c>
      <c r="C90" s="6">
        <v>32</v>
      </c>
      <c r="D90" s="6">
        <v>87</v>
      </c>
      <c r="E90" s="6">
        <v>92</v>
      </c>
      <c r="F90" s="6">
        <v>93</v>
      </c>
      <c r="G90" s="6">
        <v>96</v>
      </c>
      <c r="H90" s="6">
        <v>101</v>
      </c>
      <c r="I90" s="13" t="s">
        <v>104</v>
      </c>
    </row>
    <row r="91" spans="1:16" x14ac:dyDescent="0.2">
      <c r="A91" s="22" t="s">
        <v>21</v>
      </c>
      <c r="B91" s="6" t="s">
        <v>166</v>
      </c>
      <c r="I91" s="13" t="s">
        <v>104</v>
      </c>
      <c r="J91" s="6" t="s">
        <v>60</v>
      </c>
      <c r="K91" s="10">
        <v>9</v>
      </c>
      <c r="L91" s="10">
        <v>25</v>
      </c>
      <c r="M91" s="10">
        <v>30</v>
      </c>
      <c r="N91" s="10">
        <v>41</v>
      </c>
      <c r="O91" s="10">
        <v>64</v>
      </c>
      <c r="P91" s="4">
        <v>79</v>
      </c>
    </row>
    <row r="92" spans="1:16" x14ac:dyDescent="0.2">
      <c r="A92" s="22" t="s">
        <v>22</v>
      </c>
      <c r="B92" s="6" t="s">
        <v>167</v>
      </c>
      <c r="C92" s="6">
        <v>39</v>
      </c>
      <c r="D92" s="6">
        <v>91</v>
      </c>
      <c r="E92" s="6">
        <v>92</v>
      </c>
      <c r="F92" s="6">
        <v>93</v>
      </c>
      <c r="G92" s="6">
        <v>94</v>
      </c>
      <c r="H92" s="6">
        <v>93</v>
      </c>
      <c r="I92" s="13" t="s">
        <v>104</v>
      </c>
    </row>
    <row r="93" spans="1:16" x14ac:dyDescent="0.2">
      <c r="A93" s="22" t="s">
        <v>23</v>
      </c>
      <c r="B93" s="6" t="s">
        <v>166</v>
      </c>
      <c r="C93" s="6">
        <v>33</v>
      </c>
      <c r="D93" s="6">
        <v>91</v>
      </c>
      <c r="E93" s="6">
        <v>94</v>
      </c>
      <c r="F93" s="6">
        <v>99</v>
      </c>
      <c r="G93" s="6">
        <v>101</v>
      </c>
      <c r="H93" s="6">
        <v>104</v>
      </c>
      <c r="I93" s="13" t="s">
        <v>104</v>
      </c>
    </row>
    <row r="94" spans="1:16" x14ac:dyDescent="0.2">
      <c r="A94" s="22" t="s">
        <v>24</v>
      </c>
      <c r="B94" s="6" t="s">
        <v>167</v>
      </c>
      <c r="C94" s="6">
        <v>18</v>
      </c>
      <c r="D94" s="6">
        <v>77</v>
      </c>
      <c r="E94" s="6">
        <v>66</v>
      </c>
      <c r="F94" s="6">
        <v>59</v>
      </c>
      <c r="G94" s="6">
        <v>58</v>
      </c>
      <c r="H94" s="6">
        <v>58</v>
      </c>
      <c r="I94" s="13" t="s">
        <v>104</v>
      </c>
    </row>
    <row r="95" spans="1:16" x14ac:dyDescent="0.2">
      <c r="A95" s="22" t="s">
        <v>25</v>
      </c>
      <c r="B95" s="6" t="s">
        <v>166</v>
      </c>
      <c r="C95" s="6">
        <v>19</v>
      </c>
      <c r="D95" s="6">
        <v>90</v>
      </c>
      <c r="E95" s="6">
        <v>78</v>
      </c>
      <c r="F95" s="6">
        <v>58</v>
      </c>
      <c r="G95" s="6">
        <v>57</v>
      </c>
      <c r="H95" s="6">
        <v>56</v>
      </c>
      <c r="I95" s="13" t="s">
        <v>104</v>
      </c>
    </row>
    <row r="96" spans="1:16" x14ac:dyDescent="0.2">
      <c r="A96" s="22" t="s">
        <v>26</v>
      </c>
      <c r="B96" s="6" t="s">
        <v>167</v>
      </c>
      <c r="C96" s="6">
        <v>27</v>
      </c>
      <c r="D96" s="6">
        <v>81</v>
      </c>
      <c r="E96" s="6">
        <v>83</v>
      </c>
      <c r="F96" s="6">
        <v>83</v>
      </c>
      <c r="G96" s="6">
        <v>81</v>
      </c>
      <c r="H96" s="6">
        <v>95</v>
      </c>
      <c r="I96" s="13" t="s">
        <v>104</v>
      </c>
    </row>
    <row r="97" spans="1:10" x14ac:dyDescent="0.2">
      <c r="A97" s="22" t="s">
        <v>27</v>
      </c>
      <c r="B97" s="6" t="s">
        <v>166</v>
      </c>
      <c r="C97" s="6">
        <v>19</v>
      </c>
      <c r="D97" s="6">
        <v>81</v>
      </c>
      <c r="E97" s="6">
        <v>83</v>
      </c>
      <c r="F97" s="6">
        <v>98</v>
      </c>
      <c r="G97" s="6">
        <v>93</v>
      </c>
      <c r="H97" s="6">
        <v>101</v>
      </c>
      <c r="I97" s="13" t="s">
        <v>104</v>
      </c>
    </row>
    <row r="98" spans="1:10" x14ac:dyDescent="0.2">
      <c r="A98" s="22" t="s">
        <v>28</v>
      </c>
      <c r="B98" s="6" t="s">
        <v>167</v>
      </c>
      <c r="C98" s="6">
        <v>20</v>
      </c>
      <c r="D98" s="6">
        <v>105</v>
      </c>
      <c r="E98" s="6">
        <v>99</v>
      </c>
      <c r="F98" s="6">
        <v>96</v>
      </c>
      <c r="G98" s="6">
        <v>87</v>
      </c>
      <c r="H98" s="6">
        <v>83</v>
      </c>
      <c r="I98" s="13" t="s">
        <v>104</v>
      </c>
    </row>
    <row r="99" spans="1:10" x14ac:dyDescent="0.2">
      <c r="A99" s="22" t="s">
        <v>29</v>
      </c>
      <c r="B99" s="6" t="s">
        <v>166</v>
      </c>
      <c r="C99" s="6">
        <v>25</v>
      </c>
      <c r="D99" s="6">
        <v>77</v>
      </c>
      <c r="E99" s="6">
        <v>86</v>
      </c>
      <c r="F99" s="6">
        <v>88</v>
      </c>
      <c r="G99" s="6">
        <v>110</v>
      </c>
      <c r="H99" s="6">
        <v>108</v>
      </c>
      <c r="I99" s="13" t="s">
        <v>104</v>
      </c>
    </row>
    <row r="100" spans="1:10" x14ac:dyDescent="0.2">
      <c r="A100" s="22" t="s">
        <v>30</v>
      </c>
      <c r="B100" s="6" t="s">
        <v>167</v>
      </c>
      <c r="C100" s="6">
        <v>16</v>
      </c>
      <c r="D100" s="6">
        <v>101</v>
      </c>
      <c r="E100" s="6">
        <v>94</v>
      </c>
      <c r="F100" s="6">
        <v>92</v>
      </c>
      <c r="G100" s="6">
        <v>91</v>
      </c>
      <c r="H100" s="6">
        <v>89</v>
      </c>
      <c r="I100" s="13" t="s">
        <v>104</v>
      </c>
    </row>
    <row r="101" spans="1:10" x14ac:dyDescent="0.2">
      <c r="A101" s="22" t="s">
        <v>31</v>
      </c>
      <c r="B101" s="6" t="s">
        <v>166</v>
      </c>
      <c r="C101" s="6">
        <v>32</v>
      </c>
      <c r="D101" s="6">
        <v>52</v>
      </c>
      <c r="E101" s="6">
        <v>57</v>
      </c>
      <c r="F101" s="6">
        <v>63</v>
      </c>
      <c r="G101" s="6">
        <v>78</v>
      </c>
      <c r="H101" s="6">
        <v>103</v>
      </c>
      <c r="I101" s="13" t="s">
        <v>104</v>
      </c>
      <c r="J101" s="6" t="s">
        <v>61</v>
      </c>
    </row>
    <row r="102" spans="1:10" x14ac:dyDescent="0.2">
      <c r="A102" s="22" t="s">
        <v>32</v>
      </c>
      <c r="B102" s="6" t="s">
        <v>167</v>
      </c>
      <c r="C102" s="6">
        <v>28</v>
      </c>
      <c r="D102" s="6">
        <v>99</v>
      </c>
      <c r="E102" s="6">
        <v>86</v>
      </c>
      <c r="F102" s="6">
        <v>85</v>
      </c>
      <c r="G102" s="6">
        <v>83</v>
      </c>
      <c r="H102" s="6">
        <v>83</v>
      </c>
      <c r="I102" s="13" t="s">
        <v>104</v>
      </c>
    </row>
    <row r="103" spans="1:10" x14ac:dyDescent="0.2">
      <c r="A103" s="22" t="s">
        <v>33</v>
      </c>
      <c r="B103" s="6" t="s">
        <v>166</v>
      </c>
      <c r="C103" s="6">
        <v>24</v>
      </c>
      <c r="D103" s="6">
        <v>101</v>
      </c>
      <c r="E103" s="6">
        <v>92</v>
      </c>
      <c r="F103" s="6">
        <v>93</v>
      </c>
      <c r="G103" s="6">
        <v>87</v>
      </c>
      <c r="H103" s="6">
        <v>84</v>
      </c>
      <c r="I103" s="13" t="s">
        <v>104</v>
      </c>
    </row>
    <row r="104" spans="1:10" x14ac:dyDescent="0.2">
      <c r="A104" s="22" t="s">
        <v>34</v>
      </c>
      <c r="B104" s="6" t="s">
        <v>167</v>
      </c>
      <c r="C104" s="6">
        <v>23</v>
      </c>
      <c r="D104" s="6">
        <v>87</v>
      </c>
      <c r="E104" s="6">
        <v>92</v>
      </c>
      <c r="F104" s="6">
        <v>98</v>
      </c>
      <c r="G104" s="6">
        <v>99</v>
      </c>
      <c r="H104" s="6">
        <v>107</v>
      </c>
      <c r="I104" s="13" t="s">
        <v>104</v>
      </c>
    </row>
    <row r="105" spans="1:10" x14ac:dyDescent="0.2">
      <c r="A105" s="22" t="s">
        <v>35</v>
      </c>
      <c r="B105" s="6" t="s">
        <v>166</v>
      </c>
      <c r="C105" s="6">
        <v>16</v>
      </c>
      <c r="D105" s="6">
        <v>46</v>
      </c>
      <c r="E105" s="6">
        <v>62</v>
      </c>
      <c r="F105" s="6">
        <v>68</v>
      </c>
      <c r="G105" s="6">
        <v>72</v>
      </c>
      <c r="H105" s="6">
        <v>97</v>
      </c>
      <c r="I105" s="13" t="s">
        <v>104</v>
      </c>
    </row>
    <row r="106" spans="1:10" x14ac:dyDescent="0.2">
      <c r="A106" s="22" t="s">
        <v>36</v>
      </c>
      <c r="B106" s="6" t="s">
        <v>167</v>
      </c>
      <c r="C106" s="6">
        <v>30</v>
      </c>
      <c r="D106" s="6">
        <v>82</v>
      </c>
      <c r="E106" s="6">
        <v>96</v>
      </c>
      <c r="F106" s="6">
        <v>89</v>
      </c>
      <c r="G106" s="6">
        <v>93</v>
      </c>
      <c r="H106" s="6">
        <v>94</v>
      </c>
      <c r="I106" s="13" t="s">
        <v>104</v>
      </c>
    </row>
    <row r="107" spans="1:10" x14ac:dyDescent="0.2">
      <c r="A107" s="22" t="s">
        <v>37</v>
      </c>
      <c r="B107" s="6" t="s">
        <v>166</v>
      </c>
      <c r="C107" s="6">
        <v>17</v>
      </c>
      <c r="D107" s="6">
        <v>58</v>
      </c>
      <c r="E107" s="6">
        <v>65</v>
      </c>
      <c r="F107" s="6">
        <v>82</v>
      </c>
      <c r="G107" s="6">
        <v>80</v>
      </c>
      <c r="H107" s="6">
        <v>91</v>
      </c>
      <c r="I107" s="13" t="s">
        <v>104</v>
      </c>
    </row>
    <row r="108" spans="1:10" x14ac:dyDescent="0.2">
      <c r="A108" s="6" t="s">
        <v>14</v>
      </c>
      <c r="B108" s="6" t="s">
        <v>164</v>
      </c>
      <c r="C108" s="6">
        <v>27</v>
      </c>
      <c r="D108" s="6">
        <v>89</v>
      </c>
      <c r="E108" s="6">
        <v>90</v>
      </c>
      <c r="F108" s="6">
        <v>103</v>
      </c>
      <c r="G108" s="6">
        <v>102</v>
      </c>
      <c r="H108" s="6">
        <v>103</v>
      </c>
      <c r="I108" s="13" t="s">
        <v>104</v>
      </c>
    </row>
    <row r="109" spans="1:10" x14ac:dyDescent="0.2">
      <c r="A109" s="6" t="s">
        <v>15</v>
      </c>
      <c r="B109" s="6" t="s">
        <v>164</v>
      </c>
      <c r="C109" s="6">
        <v>27</v>
      </c>
      <c r="D109" s="6">
        <v>97</v>
      </c>
      <c r="E109" s="6">
        <v>91</v>
      </c>
      <c r="F109" s="6">
        <v>86</v>
      </c>
      <c r="G109" s="6">
        <v>83</v>
      </c>
      <c r="H109" s="6">
        <v>79</v>
      </c>
      <c r="I109" s="13" t="s">
        <v>104</v>
      </c>
    </row>
    <row r="110" spans="1:10" x14ac:dyDescent="0.2">
      <c r="A110" s="6" t="s">
        <v>16</v>
      </c>
      <c r="B110" s="6" t="s">
        <v>164</v>
      </c>
      <c r="C110" s="6">
        <v>22</v>
      </c>
      <c r="D110" s="6">
        <v>76</v>
      </c>
      <c r="E110" s="6">
        <v>79</v>
      </c>
      <c r="F110" s="6">
        <v>80</v>
      </c>
      <c r="G110" s="6">
        <v>86</v>
      </c>
      <c r="H110" s="6">
        <v>87</v>
      </c>
      <c r="I110" s="13" t="s">
        <v>104</v>
      </c>
    </row>
    <row r="111" spans="1:10" x14ac:dyDescent="0.2">
      <c r="A111" s="6" t="s">
        <v>17</v>
      </c>
      <c r="B111" s="6" t="s">
        <v>164</v>
      </c>
      <c r="C111" s="6">
        <v>33</v>
      </c>
      <c r="D111" s="6">
        <v>95</v>
      </c>
      <c r="E111" s="6">
        <v>93</v>
      </c>
      <c r="F111" s="6">
        <v>94</v>
      </c>
      <c r="G111" s="6">
        <v>94</v>
      </c>
      <c r="H111" s="6">
        <v>93</v>
      </c>
      <c r="I111" s="13" t="s">
        <v>104</v>
      </c>
    </row>
    <row r="112" spans="1:10" x14ac:dyDescent="0.2">
      <c r="A112" s="6" t="s">
        <v>58</v>
      </c>
      <c r="B112" s="6" t="s">
        <v>164</v>
      </c>
      <c r="C112" s="6">
        <v>51</v>
      </c>
      <c r="D112" s="6">
        <v>102</v>
      </c>
      <c r="E112" s="6">
        <v>103</v>
      </c>
      <c r="F112" s="6">
        <v>103</v>
      </c>
      <c r="G112" s="6">
        <v>104</v>
      </c>
      <c r="H112" s="6">
        <v>109</v>
      </c>
      <c r="I112" s="13" t="s">
        <v>104</v>
      </c>
    </row>
    <row r="113" spans="1:10" x14ac:dyDescent="0.2">
      <c r="A113" s="6" t="s">
        <v>59</v>
      </c>
      <c r="B113" s="6" t="s">
        <v>164</v>
      </c>
      <c r="C113" s="6">
        <v>23</v>
      </c>
      <c r="D113" s="6">
        <v>83</v>
      </c>
      <c r="E113" s="6">
        <v>84</v>
      </c>
      <c r="F113" s="6">
        <v>92</v>
      </c>
      <c r="G113" s="6">
        <v>97</v>
      </c>
      <c r="H113" s="6">
        <v>96</v>
      </c>
      <c r="I113" s="13" t="s">
        <v>104</v>
      </c>
    </row>
    <row r="114" spans="1:10" x14ac:dyDescent="0.2">
      <c r="A114" s="23" t="s">
        <v>38</v>
      </c>
      <c r="B114" s="6" t="s">
        <v>162</v>
      </c>
      <c r="C114" s="6">
        <v>32</v>
      </c>
      <c r="D114" s="6">
        <v>85</v>
      </c>
      <c r="E114" s="6">
        <v>82</v>
      </c>
      <c r="F114" s="6">
        <v>90</v>
      </c>
      <c r="G114" s="6">
        <v>89</v>
      </c>
      <c r="H114" s="6">
        <v>101</v>
      </c>
      <c r="I114" s="13" t="s">
        <v>107</v>
      </c>
    </row>
    <row r="115" spans="1:10" x14ac:dyDescent="0.2">
      <c r="A115" s="23" t="s">
        <v>39</v>
      </c>
      <c r="B115" s="6" t="s">
        <v>163</v>
      </c>
      <c r="C115" s="6">
        <v>11</v>
      </c>
      <c r="D115" s="6">
        <v>61</v>
      </c>
      <c r="E115" s="6">
        <v>62</v>
      </c>
      <c r="F115" s="6">
        <v>74</v>
      </c>
      <c r="G115" s="6">
        <v>79</v>
      </c>
      <c r="H115" s="6">
        <v>93</v>
      </c>
      <c r="I115" s="13" t="s">
        <v>108</v>
      </c>
    </row>
    <row r="116" spans="1:10" x14ac:dyDescent="0.2">
      <c r="A116" s="23" t="s">
        <v>40</v>
      </c>
      <c r="B116" s="6" t="s">
        <v>162</v>
      </c>
      <c r="C116" s="6">
        <v>39</v>
      </c>
      <c r="D116" s="6">
        <v>72</v>
      </c>
      <c r="E116" s="6">
        <v>87</v>
      </c>
      <c r="F116" s="6">
        <v>89</v>
      </c>
      <c r="G116" s="6">
        <v>89</v>
      </c>
      <c r="H116" s="6">
        <v>83</v>
      </c>
      <c r="I116" s="13" t="s">
        <v>106</v>
      </c>
    </row>
    <row r="117" spans="1:10" x14ac:dyDescent="0.2">
      <c r="A117" s="23" t="s">
        <v>41</v>
      </c>
      <c r="B117" s="6" t="s">
        <v>163</v>
      </c>
      <c r="C117" s="6">
        <v>18</v>
      </c>
      <c r="D117" s="6">
        <v>88</v>
      </c>
      <c r="E117" s="6">
        <v>87</v>
      </c>
      <c r="F117" s="6">
        <v>73</v>
      </c>
      <c r="G117" s="6">
        <v>81</v>
      </c>
      <c r="H117" s="6">
        <v>67</v>
      </c>
      <c r="I117" s="13" t="s">
        <v>106</v>
      </c>
    </row>
    <row r="118" spans="1:10" x14ac:dyDescent="0.2">
      <c r="A118" s="23" t="s">
        <v>42</v>
      </c>
      <c r="B118" s="6" t="s">
        <v>162</v>
      </c>
      <c r="C118" s="6">
        <v>27</v>
      </c>
      <c r="D118" s="6">
        <v>82</v>
      </c>
      <c r="E118" s="6">
        <v>80</v>
      </c>
      <c r="F118" s="6">
        <v>82</v>
      </c>
      <c r="G118" s="6">
        <v>82</v>
      </c>
      <c r="H118" s="6">
        <v>88</v>
      </c>
      <c r="I118" s="13" t="s">
        <v>106</v>
      </c>
    </row>
    <row r="119" spans="1:10" x14ac:dyDescent="0.2">
      <c r="A119" s="23" t="s">
        <v>43</v>
      </c>
      <c r="B119" s="6" t="s">
        <v>163</v>
      </c>
      <c r="C119" s="6">
        <v>6</v>
      </c>
      <c r="D119" s="6">
        <v>36</v>
      </c>
      <c r="E119" s="6">
        <v>53</v>
      </c>
      <c r="F119" s="6">
        <v>29</v>
      </c>
      <c r="G119" s="6">
        <v>25</v>
      </c>
      <c r="H119" s="6">
        <v>24</v>
      </c>
      <c r="I119" s="13" t="s">
        <v>106</v>
      </c>
    </row>
    <row r="120" spans="1:10" x14ac:dyDescent="0.2">
      <c r="A120" s="23" t="s">
        <v>44</v>
      </c>
      <c r="B120" s="6" t="s">
        <v>162</v>
      </c>
      <c r="C120" s="6">
        <v>31</v>
      </c>
      <c r="D120" s="6">
        <v>75</v>
      </c>
      <c r="E120" s="6">
        <v>78</v>
      </c>
      <c r="F120" s="6">
        <v>77</v>
      </c>
      <c r="G120" s="6">
        <v>73</v>
      </c>
      <c r="H120" s="6">
        <v>76</v>
      </c>
      <c r="I120" s="13" t="s">
        <v>106</v>
      </c>
    </row>
    <row r="121" spans="1:10" x14ac:dyDescent="0.2">
      <c r="A121" s="23" t="s">
        <v>45</v>
      </c>
      <c r="B121" s="6" t="s">
        <v>163</v>
      </c>
      <c r="C121" s="6">
        <v>21</v>
      </c>
      <c r="D121" s="6">
        <v>61</v>
      </c>
      <c r="E121" s="6">
        <v>57</v>
      </c>
      <c r="F121" s="6">
        <v>57</v>
      </c>
      <c r="G121" s="6">
        <v>60</v>
      </c>
      <c r="H121" s="6">
        <v>50</v>
      </c>
      <c r="I121" s="13" t="s">
        <v>106</v>
      </c>
      <c r="J121" s="6" t="s">
        <v>123</v>
      </c>
    </row>
    <row r="122" spans="1:10" x14ac:dyDescent="0.2">
      <c r="A122" s="23" t="s">
        <v>46</v>
      </c>
      <c r="B122" s="6" t="s">
        <v>162</v>
      </c>
      <c r="C122" s="6">
        <v>34</v>
      </c>
      <c r="D122" s="6">
        <v>85</v>
      </c>
      <c r="E122" s="6">
        <v>87</v>
      </c>
      <c r="F122" s="6">
        <v>86</v>
      </c>
      <c r="G122" s="6">
        <v>92</v>
      </c>
      <c r="H122" s="6">
        <v>93</v>
      </c>
      <c r="I122" s="13" t="s">
        <v>106</v>
      </c>
    </row>
    <row r="123" spans="1:10" x14ac:dyDescent="0.2">
      <c r="A123" s="23" t="s">
        <v>47</v>
      </c>
      <c r="B123" s="6" t="s">
        <v>163</v>
      </c>
      <c r="C123" s="6">
        <v>14</v>
      </c>
      <c r="D123" s="6">
        <v>59</v>
      </c>
      <c r="E123" s="6">
        <v>62</v>
      </c>
      <c r="F123" s="6">
        <v>65</v>
      </c>
      <c r="G123" s="6">
        <v>70</v>
      </c>
      <c r="H123" s="6">
        <v>81</v>
      </c>
      <c r="I123" s="13" t="s">
        <v>106</v>
      </c>
    </row>
    <row r="124" spans="1:10" x14ac:dyDescent="0.2">
      <c r="A124" s="23" t="s">
        <v>48</v>
      </c>
      <c r="B124" s="6" t="s">
        <v>162</v>
      </c>
      <c r="C124" s="6">
        <v>28</v>
      </c>
      <c r="D124" s="6">
        <v>69</v>
      </c>
      <c r="E124" s="6">
        <v>74</v>
      </c>
      <c r="F124" s="6">
        <v>80</v>
      </c>
      <c r="G124" s="6">
        <v>81</v>
      </c>
      <c r="H124" s="6">
        <v>81</v>
      </c>
      <c r="I124" s="13" t="s">
        <v>106</v>
      </c>
    </row>
    <row r="125" spans="1:10" x14ac:dyDescent="0.2">
      <c r="A125" s="23" t="s">
        <v>49</v>
      </c>
      <c r="B125" s="6" t="s">
        <v>163</v>
      </c>
      <c r="C125" s="6">
        <v>21</v>
      </c>
      <c r="D125" s="6">
        <v>79</v>
      </c>
      <c r="E125" s="6">
        <v>88</v>
      </c>
      <c r="F125" s="6">
        <v>84</v>
      </c>
      <c r="G125" s="6">
        <v>90</v>
      </c>
      <c r="H125" s="6">
        <v>74</v>
      </c>
      <c r="I125" s="13" t="s">
        <v>106</v>
      </c>
    </row>
    <row r="126" spans="1:10" x14ac:dyDescent="0.2">
      <c r="A126" s="23" t="s">
        <v>50</v>
      </c>
      <c r="B126" s="6" t="s">
        <v>162</v>
      </c>
      <c r="C126" s="6">
        <v>36</v>
      </c>
      <c r="D126" s="6">
        <v>80</v>
      </c>
      <c r="E126" s="6">
        <v>80</v>
      </c>
      <c r="F126" s="6">
        <v>83</v>
      </c>
      <c r="G126" s="6">
        <v>83</v>
      </c>
      <c r="H126" s="6">
        <v>90</v>
      </c>
      <c r="I126" s="13" t="s">
        <v>106</v>
      </c>
    </row>
    <row r="127" spans="1:10" x14ac:dyDescent="0.2">
      <c r="A127" s="23" t="s">
        <v>51</v>
      </c>
      <c r="B127" s="6" t="s">
        <v>163</v>
      </c>
      <c r="C127" s="6">
        <v>22</v>
      </c>
      <c r="D127" s="6">
        <v>69</v>
      </c>
      <c r="E127" s="6">
        <v>88</v>
      </c>
      <c r="F127" s="6">
        <v>87</v>
      </c>
      <c r="G127" s="6">
        <v>89</v>
      </c>
      <c r="H127" s="6">
        <v>96</v>
      </c>
      <c r="I127" s="13" t="s">
        <v>106</v>
      </c>
    </row>
    <row r="128" spans="1:10" x14ac:dyDescent="0.2">
      <c r="A128" s="23" t="s">
        <v>52</v>
      </c>
      <c r="B128" s="6" t="s">
        <v>162</v>
      </c>
      <c r="C128" s="6">
        <v>22</v>
      </c>
      <c r="D128" s="6">
        <v>72</v>
      </c>
      <c r="E128" s="6">
        <v>77</v>
      </c>
      <c r="F128" s="6">
        <v>89</v>
      </c>
      <c r="G128" s="6">
        <v>85</v>
      </c>
      <c r="H128" s="6">
        <v>91</v>
      </c>
      <c r="I128" s="13" t="s">
        <v>106</v>
      </c>
    </row>
    <row r="129" spans="1:11" x14ac:dyDescent="0.2">
      <c r="A129" s="23" t="s">
        <v>53</v>
      </c>
      <c r="B129" s="6" t="s">
        <v>163</v>
      </c>
      <c r="C129" s="6">
        <v>25</v>
      </c>
      <c r="D129" s="6">
        <v>67</v>
      </c>
      <c r="E129" s="6">
        <v>75</v>
      </c>
      <c r="F129" s="6">
        <v>85</v>
      </c>
      <c r="G129" s="6">
        <v>91</v>
      </c>
      <c r="H129" s="6">
        <v>95</v>
      </c>
      <c r="I129" s="13" t="s">
        <v>106</v>
      </c>
    </row>
    <row r="130" spans="1:11" x14ac:dyDescent="0.2">
      <c r="A130" s="23" t="s">
        <v>54</v>
      </c>
      <c r="B130" s="6" t="s">
        <v>162</v>
      </c>
      <c r="C130" s="6">
        <v>46</v>
      </c>
      <c r="D130" s="6">
        <v>83</v>
      </c>
      <c r="E130" s="6">
        <v>87</v>
      </c>
      <c r="F130" s="6">
        <v>88</v>
      </c>
      <c r="G130" s="6">
        <v>85</v>
      </c>
      <c r="H130" s="6">
        <v>105</v>
      </c>
      <c r="I130" s="13" t="s">
        <v>106</v>
      </c>
    </row>
    <row r="131" spans="1:11" x14ac:dyDescent="0.2">
      <c r="A131" s="23" t="s">
        <v>55</v>
      </c>
      <c r="B131" s="6" t="s">
        <v>163</v>
      </c>
      <c r="C131" s="6">
        <v>42</v>
      </c>
      <c r="D131" s="6">
        <v>78</v>
      </c>
      <c r="E131" s="6">
        <v>83</v>
      </c>
      <c r="F131" s="6">
        <v>88</v>
      </c>
      <c r="G131" s="6">
        <v>89</v>
      </c>
      <c r="H131" s="6">
        <v>103</v>
      </c>
      <c r="I131" s="13" t="s">
        <v>106</v>
      </c>
    </row>
    <row r="132" spans="1:11" x14ac:dyDescent="0.2">
      <c r="A132" s="23" t="s">
        <v>56</v>
      </c>
      <c r="B132" s="6" t="s">
        <v>162</v>
      </c>
      <c r="C132" s="6">
        <v>35</v>
      </c>
      <c r="D132" s="6">
        <v>93</v>
      </c>
      <c r="E132" s="6">
        <v>94</v>
      </c>
      <c r="F132" s="6">
        <v>98</v>
      </c>
      <c r="G132" s="6">
        <v>100</v>
      </c>
      <c r="H132" s="6">
        <v>92</v>
      </c>
      <c r="I132" s="13" t="s">
        <v>106</v>
      </c>
    </row>
    <row r="133" spans="1:11" x14ac:dyDescent="0.2">
      <c r="A133" s="23" t="s">
        <v>57</v>
      </c>
      <c r="B133" s="6" t="s">
        <v>163</v>
      </c>
      <c r="C133" s="6">
        <v>18</v>
      </c>
      <c r="D133" s="6">
        <v>72</v>
      </c>
      <c r="E133" s="6">
        <v>78</v>
      </c>
      <c r="F133" s="6">
        <v>88</v>
      </c>
      <c r="G133" s="6">
        <v>77</v>
      </c>
      <c r="H133" s="6">
        <v>78</v>
      </c>
      <c r="I133" s="13" t="s">
        <v>106</v>
      </c>
    </row>
    <row r="134" spans="1:11" x14ac:dyDescent="0.2">
      <c r="A134" s="25" t="s">
        <v>3</v>
      </c>
      <c r="B134" s="6" t="s">
        <v>76</v>
      </c>
      <c r="C134" s="6">
        <v>28</v>
      </c>
      <c r="D134" s="6">
        <v>79</v>
      </c>
      <c r="E134" s="6">
        <v>75</v>
      </c>
      <c r="F134" s="6">
        <v>74</v>
      </c>
      <c r="G134" s="6">
        <v>73</v>
      </c>
      <c r="H134" s="6">
        <v>65</v>
      </c>
      <c r="I134" s="13" t="s">
        <v>106</v>
      </c>
    </row>
    <row r="135" spans="1:11" x14ac:dyDescent="0.2">
      <c r="A135" s="25" t="s">
        <v>4</v>
      </c>
      <c r="B135" s="6" t="s">
        <v>76</v>
      </c>
      <c r="C135" s="6">
        <v>23</v>
      </c>
      <c r="D135" s="6">
        <v>64</v>
      </c>
      <c r="E135" s="6">
        <v>72</v>
      </c>
      <c r="F135" s="6">
        <v>73</v>
      </c>
      <c r="G135" s="6">
        <v>74</v>
      </c>
      <c r="H135" s="6">
        <v>84</v>
      </c>
      <c r="I135" s="13" t="s">
        <v>106</v>
      </c>
    </row>
    <row r="136" spans="1:11" x14ac:dyDescent="0.2">
      <c r="A136" s="25" t="s">
        <v>5</v>
      </c>
      <c r="B136" s="6" t="s">
        <v>76</v>
      </c>
      <c r="C136" s="6">
        <v>35</v>
      </c>
      <c r="D136" s="6">
        <v>64</v>
      </c>
      <c r="E136" s="6">
        <v>66</v>
      </c>
      <c r="F136" s="6">
        <v>69</v>
      </c>
      <c r="G136" s="6">
        <v>71</v>
      </c>
      <c r="H136" s="6">
        <v>74</v>
      </c>
      <c r="I136" s="13" t="s">
        <v>106</v>
      </c>
    </row>
    <row r="137" spans="1:11" x14ac:dyDescent="0.2">
      <c r="A137" s="25" t="s">
        <v>6</v>
      </c>
      <c r="B137" s="6" t="s">
        <v>76</v>
      </c>
      <c r="C137" s="6">
        <v>25</v>
      </c>
      <c r="D137" s="6">
        <v>55</v>
      </c>
      <c r="E137" s="6">
        <v>58</v>
      </c>
      <c r="F137" s="6">
        <v>78</v>
      </c>
      <c r="G137" s="6">
        <v>73</v>
      </c>
      <c r="H137" s="6">
        <v>70</v>
      </c>
      <c r="I137" s="13" t="s">
        <v>106</v>
      </c>
    </row>
    <row r="138" spans="1:11" x14ac:dyDescent="0.2">
      <c r="A138" s="25" t="s">
        <v>7</v>
      </c>
      <c r="B138" s="6" t="s">
        <v>76</v>
      </c>
      <c r="C138" s="6">
        <v>27</v>
      </c>
      <c r="D138" s="6">
        <v>79</v>
      </c>
      <c r="E138" s="6">
        <v>83</v>
      </c>
      <c r="F138" s="6">
        <v>81</v>
      </c>
      <c r="G138" s="6">
        <v>81</v>
      </c>
      <c r="H138" s="6">
        <v>79</v>
      </c>
      <c r="I138" s="13" t="s">
        <v>106</v>
      </c>
    </row>
    <row r="139" spans="1:11" x14ac:dyDescent="0.2">
      <c r="A139" s="25" t="s">
        <v>8</v>
      </c>
      <c r="B139" s="6" t="s">
        <v>76</v>
      </c>
      <c r="C139" s="6">
        <v>27</v>
      </c>
      <c r="D139" s="6">
        <v>64</v>
      </c>
      <c r="E139" s="6">
        <v>70</v>
      </c>
      <c r="F139" s="6">
        <v>67</v>
      </c>
      <c r="G139" s="6">
        <v>85</v>
      </c>
      <c r="H139" s="6">
        <v>78</v>
      </c>
      <c r="I139" s="13" t="s">
        <v>106</v>
      </c>
    </row>
    <row r="140" spans="1:11" x14ac:dyDescent="0.2">
      <c r="A140" s="25" t="s">
        <v>9</v>
      </c>
      <c r="B140" s="6" t="s">
        <v>76</v>
      </c>
      <c r="C140" s="6">
        <v>15</v>
      </c>
      <c r="D140" s="6">
        <v>43</v>
      </c>
      <c r="E140" s="6">
        <v>50</v>
      </c>
      <c r="F140" s="6">
        <v>57</v>
      </c>
      <c r="G140" s="6">
        <v>67</v>
      </c>
      <c r="H140" s="6">
        <v>66</v>
      </c>
      <c r="I140" s="13" t="s">
        <v>106</v>
      </c>
    </row>
    <row r="141" spans="1:11" x14ac:dyDescent="0.2">
      <c r="A141" s="25" t="s">
        <v>10</v>
      </c>
      <c r="B141" s="6" t="s">
        <v>76</v>
      </c>
      <c r="C141" s="6">
        <v>25</v>
      </c>
      <c r="D141" s="6">
        <v>93</v>
      </c>
      <c r="E141" s="6">
        <v>77</v>
      </c>
      <c r="F141" s="6">
        <v>70</v>
      </c>
      <c r="G141" s="6">
        <v>71</v>
      </c>
      <c r="H141" s="6">
        <v>71</v>
      </c>
      <c r="I141" s="13" t="s">
        <v>106</v>
      </c>
    </row>
    <row r="142" spans="1:11" x14ac:dyDescent="0.2">
      <c r="A142" s="25" t="s">
        <v>11</v>
      </c>
      <c r="B142" s="6" t="s">
        <v>76</v>
      </c>
      <c r="C142" s="6">
        <v>48</v>
      </c>
      <c r="D142" s="6">
        <v>87</v>
      </c>
      <c r="E142" s="6">
        <v>92</v>
      </c>
      <c r="F142" s="6">
        <v>95</v>
      </c>
      <c r="G142" s="6">
        <v>96</v>
      </c>
      <c r="H142" s="6">
        <v>105</v>
      </c>
      <c r="I142" s="13" t="s">
        <v>106</v>
      </c>
    </row>
    <row r="143" spans="1:11" x14ac:dyDescent="0.2">
      <c r="A143" s="25" t="s">
        <v>12</v>
      </c>
      <c r="B143" s="6" t="s">
        <v>76</v>
      </c>
      <c r="C143" s="6">
        <v>15</v>
      </c>
      <c r="D143" s="6">
        <v>50</v>
      </c>
      <c r="E143" s="6">
        <v>58</v>
      </c>
      <c r="F143" s="6">
        <v>63</v>
      </c>
      <c r="G143" s="6">
        <v>73</v>
      </c>
      <c r="H143" s="6">
        <v>71</v>
      </c>
      <c r="I143" s="13" t="s">
        <v>106</v>
      </c>
    </row>
    <row r="144" spans="1:11" x14ac:dyDescent="0.2">
      <c r="A144" s="22" t="s">
        <v>18</v>
      </c>
      <c r="B144" s="6" t="s">
        <v>167</v>
      </c>
      <c r="C144" s="6">
        <v>18</v>
      </c>
      <c r="D144" s="6">
        <v>65</v>
      </c>
      <c r="E144" s="6">
        <v>75</v>
      </c>
      <c r="F144" s="6">
        <v>80</v>
      </c>
      <c r="G144" s="6">
        <v>85</v>
      </c>
      <c r="H144" s="6">
        <v>82</v>
      </c>
      <c r="I144" s="13" t="s">
        <v>106</v>
      </c>
      <c r="K144" s="6">
        <v>1</v>
      </c>
    </row>
    <row r="145" spans="1:17" x14ac:dyDescent="0.2">
      <c r="A145" s="22" t="s">
        <v>19</v>
      </c>
      <c r="B145" s="6" t="s">
        <v>166</v>
      </c>
      <c r="C145" s="6">
        <v>12</v>
      </c>
      <c r="D145" s="6">
        <v>51</v>
      </c>
      <c r="E145" s="6">
        <v>50</v>
      </c>
      <c r="F145" s="6">
        <v>57</v>
      </c>
      <c r="G145" s="6">
        <v>86</v>
      </c>
      <c r="H145" s="6">
        <v>85</v>
      </c>
      <c r="I145" s="13" t="s">
        <v>106</v>
      </c>
      <c r="K145" s="6">
        <v>5</v>
      </c>
    </row>
    <row r="146" spans="1:17" x14ac:dyDescent="0.2">
      <c r="A146" s="22" t="s">
        <v>20</v>
      </c>
      <c r="B146" s="6" t="s">
        <v>167</v>
      </c>
      <c r="C146" s="6">
        <v>33</v>
      </c>
      <c r="D146" s="6">
        <v>80</v>
      </c>
      <c r="E146" s="6">
        <v>86</v>
      </c>
      <c r="F146" s="6">
        <v>81</v>
      </c>
      <c r="G146" s="6">
        <v>73</v>
      </c>
      <c r="H146" s="6">
        <v>77</v>
      </c>
      <c r="I146" s="13" t="s">
        <v>106</v>
      </c>
      <c r="K146" s="6">
        <v>5</v>
      </c>
    </row>
    <row r="147" spans="1:17" x14ac:dyDescent="0.2">
      <c r="A147" s="22" t="s">
        <v>21</v>
      </c>
      <c r="B147" s="6" t="s">
        <v>166</v>
      </c>
      <c r="I147" s="13" t="s">
        <v>106</v>
      </c>
      <c r="K147" s="6">
        <v>4</v>
      </c>
      <c r="L147" s="6">
        <v>9</v>
      </c>
      <c r="M147" s="6">
        <v>33</v>
      </c>
      <c r="N147" s="6">
        <v>40</v>
      </c>
      <c r="O147" s="6">
        <v>41</v>
      </c>
      <c r="P147">
        <v>64</v>
      </c>
      <c r="Q147">
        <v>81</v>
      </c>
    </row>
    <row r="148" spans="1:17" x14ac:dyDescent="0.2">
      <c r="A148" s="22" t="s">
        <v>22</v>
      </c>
      <c r="B148" s="6" t="s">
        <v>167</v>
      </c>
      <c r="C148" s="6">
        <v>42</v>
      </c>
      <c r="D148" s="6">
        <v>89</v>
      </c>
      <c r="E148" s="6">
        <v>89</v>
      </c>
      <c r="F148" s="6">
        <v>93</v>
      </c>
      <c r="G148" s="6">
        <v>94</v>
      </c>
      <c r="H148" s="6">
        <v>98</v>
      </c>
      <c r="I148" s="13" t="s">
        <v>106</v>
      </c>
    </row>
    <row r="149" spans="1:17" x14ac:dyDescent="0.2">
      <c r="A149" s="22" t="s">
        <v>23</v>
      </c>
      <c r="B149" s="6" t="s">
        <v>166</v>
      </c>
      <c r="C149" s="6">
        <v>30</v>
      </c>
      <c r="D149" s="6">
        <v>87</v>
      </c>
      <c r="E149" s="6">
        <v>91</v>
      </c>
      <c r="F149" s="6">
        <v>90</v>
      </c>
      <c r="G149" s="6">
        <v>103</v>
      </c>
      <c r="H149" s="6">
        <v>102</v>
      </c>
      <c r="I149" s="13" t="s">
        <v>106</v>
      </c>
    </row>
    <row r="150" spans="1:17" x14ac:dyDescent="0.2">
      <c r="A150" s="22" t="s">
        <v>24</v>
      </c>
      <c r="B150" s="6" t="s">
        <v>167</v>
      </c>
      <c r="C150" s="6">
        <v>15</v>
      </c>
      <c r="D150" s="6">
        <v>61</v>
      </c>
      <c r="E150" s="6">
        <v>58</v>
      </c>
      <c r="F150" s="6">
        <v>66</v>
      </c>
      <c r="G150" s="6">
        <v>75</v>
      </c>
      <c r="H150" s="6">
        <v>80</v>
      </c>
      <c r="I150" s="13" t="s">
        <v>106</v>
      </c>
    </row>
    <row r="151" spans="1:17" x14ac:dyDescent="0.2">
      <c r="A151" s="22" t="s">
        <v>25</v>
      </c>
      <c r="B151" s="6" t="s">
        <v>166</v>
      </c>
      <c r="C151" s="6">
        <v>17</v>
      </c>
      <c r="D151" s="6">
        <v>61</v>
      </c>
      <c r="E151" s="6">
        <v>64</v>
      </c>
      <c r="F151" s="6">
        <v>65</v>
      </c>
      <c r="G151" s="6">
        <v>67</v>
      </c>
      <c r="H151" s="6">
        <v>87</v>
      </c>
      <c r="I151" s="13" t="s">
        <v>106</v>
      </c>
    </row>
    <row r="152" spans="1:17" x14ac:dyDescent="0.2">
      <c r="A152" s="22" t="s">
        <v>26</v>
      </c>
      <c r="B152" s="6" t="s">
        <v>167</v>
      </c>
      <c r="C152" s="6">
        <v>35</v>
      </c>
      <c r="D152" s="6">
        <v>84</v>
      </c>
      <c r="E152" s="6">
        <v>83</v>
      </c>
      <c r="F152" s="6">
        <v>98</v>
      </c>
      <c r="G152" s="6">
        <v>86</v>
      </c>
      <c r="H152" s="6">
        <v>88</v>
      </c>
      <c r="I152" s="13" t="s">
        <v>106</v>
      </c>
    </row>
    <row r="153" spans="1:17" x14ac:dyDescent="0.2">
      <c r="A153" s="22" t="s">
        <v>27</v>
      </c>
      <c r="B153" s="6" t="s">
        <v>166</v>
      </c>
      <c r="C153" s="6">
        <v>20</v>
      </c>
      <c r="D153" s="6">
        <v>80</v>
      </c>
      <c r="E153" s="6">
        <v>76</v>
      </c>
      <c r="F153" s="6">
        <v>86</v>
      </c>
      <c r="G153" s="6">
        <v>97</v>
      </c>
      <c r="H153" s="6">
        <v>97</v>
      </c>
      <c r="I153" s="13" t="s">
        <v>106</v>
      </c>
      <c r="K153" s="6">
        <v>5</v>
      </c>
    </row>
    <row r="154" spans="1:17" x14ac:dyDescent="0.2">
      <c r="A154" s="22" t="s">
        <v>28</v>
      </c>
      <c r="B154" s="6" t="s">
        <v>167</v>
      </c>
      <c r="C154" s="6">
        <v>21</v>
      </c>
      <c r="D154" s="6">
        <v>79</v>
      </c>
      <c r="E154" s="6">
        <v>88</v>
      </c>
      <c r="F154" s="6">
        <v>94</v>
      </c>
      <c r="G154" s="6">
        <v>98</v>
      </c>
      <c r="H154" s="6">
        <v>104</v>
      </c>
      <c r="I154" s="13" t="s">
        <v>106</v>
      </c>
    </row>
    <row r="155" spans="1:17" x14ac:dyDescent="0.2">
      <c r="A155" s="22" t="s">
        <v>29</v>
      </c>
      <c r="B155" s="6" t="s">
        <v>166</v>
      </c>
      <c r="C155" s="6">
        <v>24</v>
      </c>
      <c r="D155" s="6">
        <v>85</v>
      </c>
      <c r="E155" s="6">
        <v>84</v>
      </c>
      <c r="F155" s="6">
        <v>85</v>
      </c>
      <c r="G155" s="6">
        <v>101</v>
      </c>
      <c r="H155" s="6">
        <v>106</v>
      </c>
      <c r="I155" s="13" t="s">
        <v>106</v>
      </c>
    </row>
    <row r="156" spans="1:17" x14ac:dyDescent="0.2">
      <c r="A156" s="22" t="s">
        <v>30</v>
      </c>
      <c r="B156" s="6" t="s">
        <v>167</v>
      </c>
      <c r="C156" s="6">
        <v>16</v>
      </c>
      <c r="D156" s="6">
        <v>106</v>
      </c>
      <c r="E156" s="6">
        <v>100</v>
      </c>
      <c r="F156" s="6">
        <v>95</v>
      </c>
      <c r="G156" s="6">
        <v>94</v>
      </c>
      <c r="H156" s="6">
        <v>92</v>
      </c>
      <c r="I156" s="13" t="s">
        <v>106</v>
      </c>
    </row>
    <row r="157" spans="1:17" x14ac:dyDescent="0.2">
      <c r="A157" s="22" t="s">
        <v>31</v>
      </c>
      <c r="B157" s="6" t="s">
        <v>166</v>
      </c>
      <c r="C157" s="6">
        <v>16</v>
      </c>
      <c r="D157" s="6">
        <v>71</v>
      </c>
      <c r="E157" s="6">
        <v>76</v>
      </c>
      <c r="F157" s="6">
        <v>81</v>
      </c>
      <c r="G157" s="6">
        <v>89</v>
      </c>
      <c r="H157" s="6">
        <v>97</v>
      </c>
      <c r="I157" s="13" t="s">
        <v>106</v>
      </c>
      <c r="K157" s="6">
        <v>7</v>
      </c>
    </row>
    <row r="158" spans="1:17" x14ac:dyDescent="0.2">
      <c r="A158" s="22" t="s">
        <v>32</v>
      </c>
      <c r="B158" s="6" t="s">
        <v>167</v>
      </c>
      <c r="C158" s="6">
        <v>29</v>
      </c>
      <c r="D158" s="6">
        <v>82</v>
      </c>
      <c r="E158" s="6">
        <v>78</v>
      </c>
      <c r="F158" s="6">
        <v>78</v>
      </c>
      <c r="G158" s="6">
        <v>78</v>
      </c>
      <c r="H158" s="6">
        <v>83</v>
      </c>
      <c r="I158" s="13" t="s">
        <v>106</v>
      </c>
    </row>
    <row r="159" spans="1:17" x14ac:dyDescent="0.2">
      <c r="A159" s="22" t="s">
        <v>33</v>
      </c>
      <c r="B159" s="6" t="s">
        <v>166</v>
      </c>
      <c r="C159" s="6">
        <v>25</v>
      </c>
      <c r="D159" s="6">
        <v>79</v>
      </c>
      <c r="E159" s="6">
        <v>83</v>
      </c>
      <c r="F159" s="6">
        <v>82</v>
      </c>
      <c r="G159" s="6">
        <v>88</v>
      </c>
      <c r="H159" s="6">
        <v>97</v>
      </c>
      <c r="I159" s="13" t="s">
        <v>106</v>
      </c>
    </row>
    <row r="160" spans="1:17" x14ac:dyDescent="0.2">
      <c r="A160" s="22" t="s">
        <v>34</v>
      </c>
      <c r="B160" s="6" t="s">
        <v>167</v>
      </c>
      <c r="C160" s="6">
        <v>24</v>
      </c>
      <c r="D160" s="6">
        <v>84</v>
      </c>
      <c r="E160" s="6">
        <v>86</v>
      </c>
      <c r="F160" s="6">
        <v>94</v>
      </c>
      <c r="G160" s="6">
        <v>92</v>
      </c>
      <c r="H160" s="6">
        <v>105</v>
      </c>
      <c r="I160" s="13" t="s">
        <v>106</v>
      </c>
    </row>
    <row r="161" spans="1:11" x14ac:dyDescent="0.2">
      <c r="A161" s="22" t="s">
        <v>35</v>
      </c>
      <c r="B161" s="6" t="s">
        <v>166</v>
      </c>
      <c r="C161" s="6">
        <v>16</v>
      </c>
      <c r="D161" s="6">
        <v>54</v>
      </c>
      <c r="E161" s="6">
        <v>73</v>
      </c>
      <c r="F161" s="6">
        <v>63</v>
      </c>
      <c r="G161" s="6">
        <v>81</v>
      </c>
      <c r="H161" s="6">
        <v>92</v>
      </c>
      <c r="I161" s="13" t="s">
        <v>106</v>
      </c>
      <c r="K161" s="6">
        <v>3</v>
      </c>
    </row>
    <row r="162" spans="1:11" x14ac:dyDescent="0.2">
      <c r="A162" s="22" t="s">
        <v>36</v>
      </c>
      <c r="B162" s="6" t="s">
        <v>167</v>
      </c>
      <c r="C162" s="6">
        <v>28</v>
      </c>
      <c r="D162" s="6">
        <v>83</v>
      </c>
      <c r="E162" s="6">
        <v>85</v>
      </c>
      <c r="F162" s="6">
        <v>91</v>
      </c>
      <c r="G162" s="6">
        <v>84</v>
      </c>
      <c r="H162" s="6">
        <v>92</v>
      </c>
      <c r="I162" s="13" t="s">
        <v>106</v>
      </c>
    </row>
    <row r="163" spans="1:11" x14ac:dyDescent="0.2">
      <c r="A163" s="22" t="s">
        <v>37</v>
      </c>
      <c r="B163" s="6" t="s">
        <v>166</v>
      </c>
      <c r="C163" s="6">
        <v>14</v>
      </c>
      <c r="D163" s="6">
        <v>75</v>
      </c>
      <c r="E163" s="6">
        <v>81</v>
      </c>
      <c r="F163" s="6">
        <v>81</v>
      </c>
      <c r="G163" s="6">
        <v>88</v>
      </c>
      <c r="H163" s="6">
        <v>89</v>
      </c>
      <c r="I163" s="13" t="s">
        <v>106</v>
      </c>
    </row>
    <row r="164" spans="1:11" x14ac:dyDescent="0.2">
      <c r="A164" s="6" t="s">
        <v>14</v>
      </c>
      <c r="B164" s="6" t="s">
        <v>164</v>
      </c>
      <c r="C164" s="6">
        <v>31</v>
      </c>
      <c r="D164" s="6">
        <v>86</v>
      </c>
      <c r="E164" s="6">
        <v>92</v>
      </c>
      <c r="F164" s="6">
        <v>97</v>
      </c>
      <c r="G164" s="6">
        <v>96</v>
      </c>
      <c r="H164" s="6">
        <v>98</v>
      </c>
      <c r="I164" s="13" t="s">
        <v>106</v>
      </c>
    </row>
    <row r="165" spans="1:11" x14ac:dyDescent="0.2">
      <c r="A165" s="6" t="s">
        <v>15</v>
      </c>
      <c r="B165" s="6" t="s">
        <v>164</v>
      </c>
      <c r="C165" s="6">
        <v>27</v>
      </c>
      <c r="D165" s="6">
        <v>85</v>
      </c>
      <c r="E165" s="6">
        <v>85</v>
      </c>
      <c r="F165" s="6">
        <v>86</v>
      </c>
      <c r="G165" s="6">
        <v>87</v>
      </c>
      <c r="H165" s="6">
        <v>90</v>
      </c>
      <c r="I165" s="13" t="s">
        <v>106</v>
      </c>
    </row>
    <row r="166" spans="1:11" x14ac:dyDescent="0.2">
      <c r="A166" s="6" t="s">
        <v>16</v>
      </c>
      <c r="B166" s="6" t="s">
        <v>164</v>
      </c>
      <c r="C166" s="6">
        <v>24</v>
      </c>
      <c r="D166" s="6">
        <v>85</v>
      </c>
      <c r="E166" s="6">
        <v>89</v>
      </c>
      <c r="F166" s="6">
        <v>80</v>
      </c>
      <c r="G166" s="6">
        <v>84</v>
      </c>
      <c r="H166" s="6">
        <v>79</v>
      </c>
      <c r="I166" s="13" t="s">
        <v>106</v>
      </c>
    </row>
    <row r="167" spans="1:11" x14ac:dyDescent="0.2">
      <c r="A167" s="6" t="s">
        <v>17</v>
      </c>
      <c r="B167" s="6" t="s">
        <v>164</v>
      </c>
      <c r="C167" s="6">
        <v>23</v>
      </c>
      <c r="D167" s="6">
        <v>93</v>
      </c>
      <c r="E167" s="6">
        <v>96</v>
      </c>
      <c r="F167" s="6">
        <v>93</v>
      </c>
      <c r="G167" s="6">
        <v>97</v>
      </c>
      <c r="H167" s="6">
        <v>95</v>
      </c>
      <c r="I167" s="13" t="s">
        <v>106</v>
      </c>
    </row>
    <row r="168" spans="1:11" x14ac:dyDescent="0.2">
      <c r="A168" s="6" t="s">
        <v>58</v>
      </c>
      <c r="B168" s="6" t="s">
        <v>164</v>
      </c>
      <c r="C168" s="6">
        <v>50</v>
      </c>
      <c r="D168" s="6">
        <v>101</v>
      </c>
      <c r="E168" s="6">
        <v>102</v>
      </c>
      <c r="F168" s="6">
        <v>103</v>
      </c>
      <c r="G168" s="6">
        <v>103</v>
      </c>
      <c r="H168" s="6">
        <v>107</v>
      </c>
      <c r="I168" s="13" t="s">
        <v>106</v>
      </c>
    </row>
    <row r="169" spans="1:11" x14ac:dyDescent="0.2">
      <c r="A169" s="6" t="s">
        <v>59</v>
      </c>
      <c r="B169" s="6" t="s">
        <v>164</v>
      </c>
      <c r="C169" s="6">
        <v>27</v>
      </c>
      <c r="D169" s="6">
        <v>91</v>
      </c>
      <c r="E169" s="6">
        <v>91</v>
      </c>
      <c r="F169" s="6">
        <v>95</v>
      </c>
      <c r="G169" s="6">
        <v>96</v>
      </c>
      <c r="H169" s="6">
        <v>106</v>
      </c>
      <c r="I169" s="13" t="s">
        <v>106</v>
      </c>
    </row>
    <row r="170" spans="1:11" x14ac:dyDescent="0.2">
      <c r="A170" s="23" t="s">
        <v>38</v>
      </c>
      <c r="B170" s="6" t="s">
        <v>162</v>
      </c>
      <c r="C170" s="6">
        <v>30</v>
      </c>
      <c r="D170" s="6">
        <v>73</v>
      </c>
      <c r="E170" s="6">
        <v>74</v>
      </c>
      <c r="F170" s="6">
        <v>83</v>
      </c>
      <c r="G170" s="6">
        <v>98</v>
      </c>
      <c r="H170" s="6">
        <v>80</v>
      </c>
      <c r="I170" s="13" t="s">
        <v>110</v>
      </c>
    </row>
    <row r="171" spans="1:11" x14ac:dyDescent="0.2">
      <c r="A171" s="23" t="s">
        <v>39</v>
      </c>
      <c r="B171" s="6" t="s">
        <v>163</v>
      </c>
      <c r="C171" s="6">
        <v>10</v>
      </c>
      <c r="D171" s="6">
        <v>39</v>
      </c>
      <c r="E171" s="6">
        <v>60</v>
      </c>
      <c r="F171" s="6">
        <v>73</v>
      </c>
      <c r="G171" s="6">
        <v>76</v>
      </c>
      <c r="H171" s="6">
        <v>90</v>
      </c>
      <c r="I171" s="13" t="s">
        <v>110</v>
      </c>
    </row>
    <row r="172" spans="1:11" x14ac:dyDescent="0.2">
      <c r="A172" s="23" t="s">
        <v>40</v>
      </c>
      <c r="B172" s="6" t="s">
        <v>162</v>
      </c>
      <c r="C172" s="6">
        <v>42</v>
      </c>
      <c r="D172" s="6">
        <v>70</v>
      </c>
      <c r="E172" s="6">
        <v>85</v>
      </c>
      <c r="F172" s="6">
        <v>89</v>
      </c>
      <c r="G172" s="6">
        <v>89</v>
      </c>
      <c r="H172" s="6">
        <v>89</v>
      </c>
      <c r="I172" s="13" t="s">
        <v>109</v>
      </c>
    </row>
    <row r="173" spans="1:11" x14ac:dyDescent="0.2">
      <c r="A173" s="23" t="s">
        <v>41</v>
      </c>
      <c r="B173" s="6" t="s">
        <v>163</v>
      </c>
      <c r="C173" s="6">
        <v>15</v>
      </c>
      <c r="D173" s="6">
        <v>67</v>
      </c>
      <c r="E173" s="6">
        <v>75</v>
      </c>
      <c r="F173" s="6">
        <v>60</v>
      </c>
      <c r="G173" s="6">
        <v>74</v>
      </c>
      <c r="H173" s="6">
        <v>96</v>
      </c>
      <c r="I173" s="13" t="s">
        <v>109</v>
      </c>
    </row>
    <row r="174" spans="1:11" x14ac:dyDescent="0.2">
      <c r="A174" s="23" t="s">
        <v>42</v>
      </c>
      <c r="B174" s="6" t="s">
        <v>162</v>
      </c>
      <c r="C174" s="6">
        <v>27</v>
      </c>
      <c r="D174" s="6">
        <v>65</v>
      </c>
      <c r="E174" s="6">
        <v>66</v>
      </c>
      <c r="F174" s="6">
        <v>80</v>
      </c>
      <c r="G174" s="6">
        <v>81</v>
      </c>
      <c r="H174" s="6">
        <v>82</v>
      </c>
      <c r="I174" s="13" t="s">
        <v>109</v>
      </c>
    </row>
    <row r="175" spans="1:11" x14ac:dyDescent="0.2">
      <c r="A175" s="23" t="s">
        <v>43</v>
      </c>
      <c r="B175" s="6" t="s">
        <v>163</v>
      </c>
      <c r="C175" s="27">
        <v>2</v>
      </c>
      <c r="D175" s="27">
        <v>26</v>
      </c>
      <c r="E175" s="27">
        <v>20</v>
      </c>
      <c r="F175" s="27">
        <v>0</v>
      </c>
      <c r="G175" s="27">
        <v>0</v>
      </c>
      <c r="H175" s="27">
        <v>0</v>
      </c>
      <c r="I175" s="13" t="s">
        <v>109</v>
      </c>
      <c r="K175" s="27"/>
    </row>
    <row r="176" spans="1:11" x14ac:dyDescent="0.2">
      <c r="A176" s="23" t="s">
        <v>44</v>
      </c>
      <c r="B176" s="6" t="s">
        <v>162</v>
      </c>
      <c r="C176" s="6">
        <v>35</v>
      </c>
      <c r="D176" s="6">
        <v>68</v>
      </c>
      <c r="E176" s="6">
        <v>69</v>
      </c>
      <c r="F176" s="6">
        <v>70</v>
      </c>
      <c r="G176" s="6">
        <v>76</v>
      </c>
      <c r="H176" s="6">
        <v>84</v>
      </c>
      <c r="I176" s="13" t="s">
        <v>109</v>
      </c>
    </row>
    <row r="177" spans="1:17" x14ac:dyDescent="0.2">
      <c r="A177" s="23" t="s">
        <v>45</v>
      </c>
      <c r="B177" s="6" t="s">
        <v>163</v>
      </c>
      <c r="C177" s="6">
        <v>9</v>
      </c>
      <c r="D177" s="6">
        <v>27</v>
      </c>
      <c r="E177" s="6">
        <v>33</v>
      </c>
      <c r="F177" s="6">
        <v>29</v>
      </c>
      <c r="G177" s="6">
        <v>49</v>
      </c>
      <c r="H177" s="6">
        <v>51</v>
      </c>
      <c r="I177" s="13" t="s">
        <v>109</v>
      </c>
    </row>
    <row r="178" spans="1:17" x14ac:dyDescent="0.2">
      <c r="A178" s="23" t="s">
        <v>46</v>
      </c>
      <c r="B178" s="6" t="s">
        <v>162</v>
      </c>
      <c r="C178" s="6">
        <v>31</v>
      </c>
      <c r="D178" s="6">
        <v>74</v>
      </c>
      <c r="E178" s="6">
        <v>75</v>
      </c>
      <c r="F178" s="6">
        <v>82</v>
      </c>
      <c r="G178" s="6">
        <v>85</v>
      </c>
      <c r="H178" s="6">
        <v>88</v>
      </c>
      <c r="I178" s="13" t="s">
        <v>109</v>
      </c>
    </row>
    <row r="179" spans="1:17" x14ac:dyDescent="0.2">
      <c r="A179" s="23" t="s">
        <v>47</v>
      </c>
      <c r="B179" s="6" t="s">
        <v>163</v>
      </c>
      <c r="I179" s="13" t="s">
        <v>109</v>
      </c>
      <c r="J179" s="10" t="s">
        <v>69</v>
      </c>
      <c r="K179" s="10"/>
      <c r="L179" s="10">
        <v>17</v>
      </c>
      <c r="M179" s="10">
        <v>35</v>
      </c>
      <c r="N179" s="10">
        <v>45</v>
      </c>
      <c r="O179" s="10">
        <v>48</v>
      </c>
      <c r="P179" s="4">
        <v>50</v>
      </c>
      <c r="Q179" s="4">
        <v>73</v>
      </c>
    </row>
    <row r="180" spans="1:17" x14ac:dyDescent="0.2">
      <c r="A180" s="23" t="s">
        <v>48</v>
      </c>
      <c r="B180" s="6" t="s">
        <v>162</v>
      </c>
      <c r="C180" s="6">
        <v>29</v>
      </c>
      <c r="D180" s="6">
        <v>74</v>
      </c>
      <c r="E180" s="6">
        <v>80</v>
      </c>
      <c r="F180" s="6">
        <v>980</v>
      </c>
      <c r="G180" s="6">
        <v>83</v>
      </c>
      <c r="H180" s="6">
        <v>82</v>
      </c>
      <c r="I180" s="13" t="s">
        <v>109</v>
      </c>
    </row>
    <row r="181" spans="1:17" x14ac:dyDescent="0.2">
      <c r="A181" s="23" t="s">
        <v>49</v>
      </c>
      <c r="B181" s="6" t="s">
        <v>163</v>
      </c>
      <c r="C181" s="6">
        <v>15</v>
      </c>
      <c r="D181" s="6">
        <v>57</v>
      </c>
      <c r="E181" s="6">
        <v>58</v>
      </c>
      <c r="F181" s="6">
        <v>62</v>
      </c>
      <c r="G181" s="6">
        <v>52</v>
      </c>
      <c r="H181" s="6">
        <v>78</v>
      </c>
      <c r="I181" s="13" t="s">
        <v>109</v>
      </c>
    </row>
    <row r="182" spans="1:17" x14ac:dyDescent="0.2">
      <c r="A182" s="23" t="s">
        <v>50</v>
      </c>
      <c r="B182" s="6" t="s">
        <v>162</v>
      </c>
      <c r="C182" s="6">
        <v>34</v>
      </c>
      <c r="D182" s="6">
        <v>71</v>
      </c>
      <c r="E182" s="6">
        <v>74</v>
      </c>
      <c r="F182" s="6">
        <v>80</v>
      </c>
      <c r="G182" s="6">
        <v>75</v>
      </c>
      <c r="H182" s="6">
        <v>76</v>
      </c>
      <c r="I182" s="13" t="s">
        <v>109</v>
      </c>
    </row>
    <row r="183" spans="1:17" x14ac:dyDescent="0.2">
      <c r="A183" s="23" t="s">
        <v>51</v>
      </c>
      <c r="B183" s="6" t="s">
        <v>163</v>
      </c>
      <c r="I183" s="13" t="s">
        <v>109</v>
      </c>
      <c r="J183" s="10" t="s">
        <v>69</v>
      </c>
      <c r="K183" s="10"/>
      <c r="L183" s="10">
        <v>16</v>
      </c>
      <c r="M183" s="10">
        <v>52</v>
      </c>
      <c r="N183" s="10">
        <v>71</v>
      </c>
      <c r="O183" s="10">
        <v>78</v>
      </c>
      <c r="P183" s="4">
        <v>86</v>
      </c>
      <c r="Q183" s="4">
        <v>96</v>
      </c>
    </row>
    <row r="184" spans="1:17" x14ac:dyDescent="0.2">
      <c r="A184" s="23" t="s">
        <v>52</v>
      </c>
      <c r="B184" s="6" t="s">
        <v>162</v>
      </c>
      <c r="C184" s="6">
        <v>21</v>
      </c>
      <c r="D184" s="6">
        <v>76</v>
      </c>
      <c r="E184" s="6">
        <v>70</v>
      </c>
      <c r="F184" s="6">
        <v>75</v>
      </c>
      <c r="G184" s="6">
        <v>85</v>
      </c>
      <c r="H184" s="6">
        <v>77</v>
      </c>
      <c r="I184" s="13" t="s">
        <v>109</v>
      </c>
    </row>
    <row r="185" spans="1:17" x14ac:dyDescent="0.2">
      <c r="A185" s="23" t="s">
        <v>53</v>
      </c>
      <c r="B185" s="6" t="s">
        <v>163</v>
      </c>
      <c r="C185" s="6">
        <v>11</v>
      </c>
      <c r="D185" s="6">
        <v>48</v>
      </c>
      <c r="E185" s="6">
        <v>47</v>
      </c>
      <c r="F185" s="6">
        <v>51</v>
      </c>
      <c r="G185" s="6">
        <v>55</v>
      </c>
      <c r="H185" s="6">
        <v>76</v>
      </c>
      <c r="I185" s="13" t="s">
        <v>109</v>
      </c>
    </row>
    <row r="186" spans="1:17" x14ac:dyDescent="0.2">
      <c r="A186" s="23" t="s">
        <v>54</v>
      </c>
      <c r="B186" s="6" t="s">
        <v>162</v>
      </c>
      <c r="C186" s="6">
        <v>45</v>
      </c>
      <c r="D186" s="6">
        <v>67</v>
      </c>
      <c r="E186" s="6">
        <v>71</v>
      </c>
      <c r="F186" s="6">
        <v>71</v>
      </c>
      <c r="G186" s="6">
        <v>78</v>
      </c>
      <c r="H186" s="6">
        <v>94</v>
      </c>
      <c r="I186" s="13" t="s">
        <v>109</v>
      </c>
    </row>
    <row r="187" spans="1:17" x14ac:dyDescent="0.2">
      <c r="A187" s="23" t="s">
        <v>55</v>
      </c>
      <c r="B187" s="6" t="s">
        <v>163</v>
      </c>
      <c r="C187" s="6">
        <v>38</v>
      </c>
      <c r="D187" s="6">
        <v>74</v>
      </c>
      <c r="E187" s="6">
        <v>79</v>
      </c>
      <c r="F187" s="6">
        <v>78</v>
      </c>
      <c r="G187" s="6">
        <v>90</v>
      </c>
      <c r="H187" s="6">
        <v>92</v>
      </c>
      <c r="I187" s="13" t="s">
        <v>109</v>
      </c>
    </row>
    <row r="188" spans="1:17" x14ac:dyDescent="0.2">
      <c r="A188" s="23" t="s">
        <v>56</v>
      </c>
      <c r="B188" s="6" t="s">
        <v>162</v>
      </c>
      <c r="C188" s="6">
        <v>37</v>
      </c>
      <c r="D188" s="6">
        <v>89</v>
      </c>
      <c r="E188" s="6">
        <v>91</v>
      </c>
      <c r="F188" s="6">
        <v>92</v>
      </c>
      <c r="G188" s="6">
        <v>92</v>
      </c>
      <c r="H188" s="6">
        <v>98</v>
      </c>
      <c r="I188" s="13" t="s">
        <v>109</v>
      </c>
    </row>
    <row r="189" spans="1:17" x14ac:dyDescent="0.2">
      <c r="A189" s="23" t="s">
        <v>57</v>
      </c>
      <c r="B189" s="6" t="s">
        <v>163</v>
      </c>
      <c r="C189" s="6">
        <v>13</v>
      </c>
      <c r="D189" s="6">
        <v>42</v>
      </c>
      <c r="E189" s="6">
        <v>47</v>
      </c>
      <c r="F189" s="6">
        <v>50</v>
      </c>
      <c r="G189" s="6">
        <v>59</v>
      </c>
      <c r="H189" s="6">
        <v>74</v>
      </c>
      <c r="I189" s="13" t="s">
        <v>109</v>
      </c>
    </row>
    <row r="190" spans="1:17" x14ac:dyDescent="0.2">
      <c r="A190" s="25" t="s">
        <v>3</v>
      </c>
      <c r="B190" s="6" t="s">
        <v>76</v>
      </c>
      <c r="C190" s="6">
        <v>35</v>
      </c>
      <c r="D190" s="6">
        <v>61</v>
      </c>
      <c r="E190" s="6">
        <v>60</v>
      </c>
      <c r="F190" s="6">
        <v>62</v>
      </c>
      <c r="G190" s="6">
        <v>75</v>
      </c>
      <c r="H190" s="6">
        <v>73</v>
      </c>
      <c r="I190" s="13" t="s">
        <v>109</v>
      </c>
    </row>
    <row r="191" spans="1:17" x14ac:dyDescent="0.2">
      <c r="A191" s="25" t="s">
        <v>4</v>
      </c>
      <c r="B191" s="6" t="s">
        <v>76</v>
      </c>
      <c r="C191" s="6">
        <v>23</v>
      </c>
      <c r="D191" s="6">
        <v>66</v>
      </c>
      <c r="E191" s="6">
        <v>71</v>
      </c>
      <c r="F191" s="6">
        <v>74</v>
      </c>
      <c r="G191" s="6">
        <v>80</v>
      </c>
      <c r="H191" s="6">
        <v>87</v>
      </c>
      <c r="I191" s="13" t="s">
        <v>109</v>
      </c>
    </row>
    <row r="192" spans="1:17" x14ac:dyDescent="0.2">
      <c r="A192" s="25" t="s">
        <v>5</v>
      </c>
      <c r="B192" s="6" t="s">
        <v>76</v>
      </c>
      <c r="C192" s="6">
        <v>35</v>
      </c>
      <c r="D192" s="6">
        <v>66</v>
      </c>
      <c r="E192" s="6">
        <v>66</v>
      </c>
      <c r="F192" s="6">
        <v>79</v>
      </c>
      <c r="G192" s="6">
        <v>73</v>
      </c>
      <c r="H192" s="6">
        <v>78</v>
      </c>
      <c r="I192" s="13" t="s">
        <v>109</v>
      </c>
    </row>
    <row r="193" spans="1:17" x14ac:dyDescent="0.2">
      <c r="A193" s="25" t="s">
        <v>6</v>
      </c>
      <c r="B193" s="6" t="s">
        <v>76</v>
      </c>
      <c r="C193" s="6">
        <v>25</v>
      </c>
      <c r="D193" s="6">
        <v>64</v>
      </c>
      <c r="E193" s="6">
        <v>65</v>
      </c>
      <c r="F193" s="6">
        <v>66</v>
      </c>
      <c r="G193" s="6">
        <v>69</v>
      </c>
      <c r="H193" s="6">
        <v>73</v>
      </c>
      <c r="I193" s="13" t="s">
        <v>109</v>
      </c>
    </row>
    <row r="194" spans="1:17" x14ac:dyDescent="0.2">
      <c r="A194" s="25" t="s">
        <v>7</v>
      </c>
      <c r="B194" s="6" t="s">
        <v>76</v>
      </c>
      <c r="C194" s="6">
        <v>28</v>
      </c>
      <c r="D194" s="6">
        <v>69</v>
      </c>
      <c r="E194" s="6">
        <v>70</v>
      </c>
      <c r="F194" s="6">
        <v>74</v>
      </c>
      <c r="G194" s="6">
        <v>80</v>
      </c>
      <c r="H194" s="6">
        <v>76</v>
      </c>
      <c r="I194" s="13" t="s">
        <v>109</v>
      </c>
    </row>
    <row r="195" spans="1:17" x14ac:dyDescent="0.2">
      <c r="A195" s="25" t="s">
        <v>8</v>
      </c>
      <c r="B195" s="6" t="s">
        <v>76</v>
      </c>
      <c r="C195" s="6">
        <v>26</v>
      </c>
      <c r="D195" s="6">
        <v>66</v>
      </c>
      <c r="E195" s="6">
        <v>67</v>
      </c>
      <c r="F195" s="6">
        <v>82</v>
      </c>
      <c r="G195" s="6">
        <v>83</v>
      </c>
      <c r="H195" s="6">
        <v>89</v>
      </c>
      <c r="I195" s="13" t="s">
        <v>109</v>
      </c>
    </row>
    <row r="196" spans="1:17" x14ac:dyDescent="0.2">
      <c r="A196" s="25" t="s">
        <v>9</v>
      </c>
      <c r="B196" s="6" t="s">
        <v>76</v>
      </c>
      <c r="C196" s="6">
        <v>15</v>
      </c>
      <c r="D196" s="6">
        <v>65</v>
      </c>
      <c r="E196" s="6">
        <v>65</v>
      </c>
      <c r="F196" s="6">
        <v>68</v>
      </c>
      <c r="G196" s="6">
        <v>69</v>
      </c>
      <c r="H196" s="6">
        <v>68</v>
      </c>
      <c r="I196" s="13" t="s">
        <v>109</v>
      </c>
    </row>
    <row r="197" spans="1:17" x14ac:dyDescent="0.2">
      <c r="A197" s="25" t="s">
        <v>10</v>
      </c>
      <c r="B197" s="6" t="s">
        <v>76</v>
      </c>
      <c r="C197" s="6">
        <v>33</v>
      </c>
      <c r="D197" s="6">
        <v>75</v>
      </c>
      <c r="E197" s="6">
        <v>77</v>
      </c>
      <c r="F197" s="6">
        <v>76</v>
      </c>
      <c r="G197" s="6">
        <v>79</v>
      </c>
      <c r="H197" s="6">
        <v>94</v>
      </c>
      <c r="I197" s="13" t="s">
        <v>109</v>
      </c>
    </row>
    <row r="198" spans="1:17" x14ac:dyDescent="0.2">
      <c r="A198" s="25" t="s">
        <v>11</v>
      </c>
      <c r="B198" s="6" t="s">
        <v>76</v>
      </c>
      <c r="C198" s="6">
        <v>49</v>
      </c>
      <c r="D198" s="6">
        <v>80</v>
      </c>
      <c r="E198" s="6">
        <v>81</v>
      </c>
      <c r="F198" s="6">
        <v>89</v>
      </c>
      <c r="G198" s="6">
        <v>93</v>
      </c>
      <c r="H198" s="6">
        <v>100</v>
      </c>
      <c r="I198" s="13" t="s">
        <v>109</v>
      </c>
    </row>
    <row r="199" spans="1:17" x14ac:dyDescent="0.2">
      <c r="A199" s="25" t="s">
        <v>12</v>
      </c>
      <c r="B199" s="6" t="s">
        <v>76</v>
      </c>
      <c r="C199" s="6">
        <v>13</v>
      </c>
      <c r="D199" s="6">
        <v>62</v>
      </c>
      <c r="E199" s="6">
        <v>63</v>
      </c>
      <c r="F199" s="6">
        <v>68</v>
      </c>
      <c r="G199" s="6">
        <v>73</v>
      </c>
      <c r="H199" s="6">
        <v>77</v>
      </c>
      <c r="I199" s="13" t="s">
        <v>109</v>
      </c>
    </row>
    <row r="200" spans="1:17" x14ac:dyDescent="0.2">
      <c r="A200" s="22" t="s">
        <v>18</v>
      </c>
      <c r="B200" s="6" t="s">
        <v>167</v>
      </c>
      <c r="C200" s="6">
        <v>15</v>
      </c>
      <c r="D200" s="6">
        <v>68</v>
      </c>
      <c r="E200" s="6">
        <v>72</v>
      </c>
      <c r="F200" s="6">
        <v>79</v>
      </c>
      <c r="G200" s="6">
        <v>78</v>
      </c>
      <c r="H200" s="6">
        <v>71</v>
      </c>
      <c r="I200" s="13" t="s">
        <v>109</v>
      </c>
      <c r="K200" s="6">
        <v>7</v>
      </c>
    </row>
    <row r="201" spans="1:17" x14ac:dyDescent="0.2">
      <c r="A201" s="22" t="s">
        <v>19</v>
      </c>
      <c r="B201" s="6" t="s">
        <v>166</v>
      </c>
      <c r="C201" s="6">
        <v>12</v>
      </c>
      <c r="D201" s="6">
        <v>59</v>
      </c>
      <c r="E201" s="6">
        <v>72</v>
      </c>
      <c r="F201" s="6">
        <v>77</v>
      </c>
      <c r="G201" s="6">
        <v>81</v>
      </c>
      <c r="H201" s="6">
        <v>77</v>
      </c>
      <c r="I201" s="13" t="s">
        <v>109</v>
      </c>
      <c r="K201" s="6">
        <v>3</v>
      </c>
    </row>
    <row r="202" spans="1:17" x14ac:dyDescent="0.2">
      <c r="A202" s="22" t="s">
        <v>20</v>
      </c>
      <c r="B202" s="6" t="s">
        <v>167</v>
      </c>
      <c r="C202" s="6">
        <v>39</v>
      </c>
      <c r="D202" s="6">
        <v>76</v>
      </c>
      <c r="E202" s="6">
        <v>88</v>
      </c>
      <c r="F202" s="6">
        <v>85</v>
      </c>
      <c r="G202" s="6">
        <v>83</v>
      </c>
      <c r="H202" s="6">
        <v>83</v>
      </c>
      <c r="I202" s="13" t="s">
        <v>109</v>
      </c>
      <c r="K202" s="6">
        <v>3</v>
      </c>
    </row>
    <row r="203" spans="1:17" x14ac:dyDescent="0.2">
      <c r="A203" s="22" t="s">
        <v>21</v>
      </c>
      <c r="B203" s="6" t="s">
        <v>166</v>
      </c>
      <c r="I203" s="13" t="s">
        <v>109</v>
      </c>
      <c r="K203" s="6">
        <v>3</v>
      </c>
      <c r="L203" s="6">
        <v>9</v>
      </c>
      <c r="M203" s="6">
        <v>79</v>
      </c>
      <c r="N203" s="6">
        <v>57</v>
      </c>
      <c r="O203" s="6">
        <v>45</v>
      </c>
      <c r="P203">
        <v>44</v>
      </c>
      <c r="Q203">
        <v>43</v>
      </c>
    </row>
    <row r="204" spans="1:17" x14ac:dyDescent="0.2">
      <c r="A204" s="22" t="s">
        <v>22</v>
      </c>
      <c r="B204" s="6" t="s">
        <v>167</v>
      </c>
      <c r="C204" s="6">
        <v>39</v>
      </c>
      <c r="D204" s="6">
        <v>85</v>
      </c>
      <c r="E204" s="6">
        <v>87</v>
      </c>
      <c r="F204" s="6">
        <v>86</v>
      </c>
      <c r="G204" s="6">
        <v>88</v>
      </c>
      <c r="H204" s="6">
        <v>91</v>
      </c>
      <c r="I204" s="13" t="s">
        <v>109</v>
      </c>
      <c r="K204" s="6">
        <v>5</v>
      </c>
    </row>
    <row r="205" spans="1:17" x14ac:dyDescent="0.2">
      <c r="A205" s="22" t="s">
        <v>23</v>
      </c>
      <c r="B205" s="6" t="s">
        <v>166</v>
      </c>
      <c r="C205" s="6">
        <v>25</v>
      </c>
      <c r="D205" s="6">
        <v>90</v>
      </c>
      <c r="E205" s="6">
        <v>86</v>
      </c>
      <c r="F205" s="6">
        <v>85</v>
      </c>
      <c r="G205" s="6">
        <v>94</v>
      </c>
      <c r="H205" s="6">
        <v>89</v>
      </c>
      <c r="I205" s="13" t="s">
        <v>109</v>
      </c>
      <c r="K205" s="6">
        <v>6</v>
      </c>
    </row>
    <row r="206" spans="1:17" x14ac:dyDescent="0.2">
      <c r="A206" s="22" t="s">
        <v>24</v>
      </c>
      <c r="B206" s="6" t="s">
        <v>167</v>
      </c>
      <c r="C206" s="6">
        <v>17</v>
      </c>
      <c r="D206" s="6">
        <v>64</v>
      </c>
      <c r="E206" s="6">
        <v>65</v>
      </c>
      <c r="F206" s="6">
        <v>74</v>
      </c>
      <c r="G206" s="6">
        <v>78</v>
      </c>
      <c r="H206" s="6">
        <v>81</v>
      </c>
      <c r="I206" s="13" t="s">
        <v>109</v>
      </c>
      <c r="K206" s="6">
        <v>6</v>
      </c>
    </row>
    <row r="207" spans="1:17" x14ac:dyDescent="0.2">
      <c r="A207" s="22" t="s">
        <v>25</v>
      </c>
      <c r="B207" s="6" t="s">
        <v>166</v>
      </c>
      <c r="C207" s="6">
        <v>20</v>
      </c>
      <c r="D207" s="6">
        <v>55</v>
      </c>
      <c r="E207" s="6">
        <v>60</v>
      </c>
      <c r="F207" s="6">
        <v>63</v>
      </c>
      <c r="G207" s="6">
        <v>80</v>
      </c>
      <c r="H207" s="6">
        <v>79</v>
      </c>
      <c r="I207" s="13" t="s">
        <v>109</v>
      </c>
      <c r="K207" s="6">
        <v>3</v>
      </c>
    </row>
    <row r="208" spans="1:17" x14ac:dyDescent="0.2">
      <c r="A208" s="22" t="s">
        <v>26</v>
      </c>
      <c r="B208" s="6" t="s">
        <v>167</v>
      </c>
      <c r="C208" s="6">
        <v>28</v>
      </c>
      <c r="D208" s="6">
        <v>61</v>
      </c>
      <c r="E208" s="6">
        <v>60</v>
      </c>
      <c r="F208" s="6">
        <v>71</v>
      </c>
      <c r="G208" s="6">
        <v>81</v>
      </c>
      <c r="H208" s="6">
        <v>60</v>
      </c>
      <c r="I208" s="13" t="s">
        <v>109</v>
      </c>
      <c r="K208" s="6">
        <v>5</v>
      </c>
    </row>
    <row r="209" spans="1:11" x14ac:dyDescent="0.2">
      <c r="A209" s="22" t="s">
        <v>27</v>
      </c>
      <c r="B209" s="6" t="s">
        <v>166</v>
      </c>
      <c r="C209" s="6">
        <v>18</v>
      </c>
      <c r="D209" s="6">
        <v>65</v>
      </c>
      <c r="E209" s="6">
        <v>81</v>
      </c>
      <c r="F209" s="6">
        <v>81</v>
      </c>
      <c r="G209" s="6">
        <v>83</v>
      </c>
      <c r="H209" s="6">
        <v>92</v>
      </c>
      <c r="I209" s="13" t="s">
        <v>109</v>
      </c>
      <c r="K209" s="6">
        <v>10</v>
      </c>
    </row>
    <row r="210" spans="1:11" x14ac:dyDescent="0.2">
      <c r="A210" s="22" t="s">
        <v>28</v>
      </c>
      <c r="B210" s="6" t="s">
        <v>167</v>
      </c>
      <c r="C210" s="6">
        <v>24</v>
      </c>
      <c r="D210" s="6">
        <v>79</v>
      </c>
      <c r="E210" s="6">
        <v>80</v>
      </c>
      <c r="F210" s="6">
        <v>88</v>
      </c>
      <c r="G210" s="6">
        <v>101</v>
      </c>
      <c r="H210" s="6">
        <v>87</v>
      </c>
      <c r="I210" s="13" t="s">
        <v>109</v>
      </c>
      <c r="K210" s="6">
        <v>6</v>
      </c>
    </row>
    <row r="211" spans="1:11" x14ac:dyDescent="0.2">
      <c r="A211" s="22" t="s">
        <v>29</v>
      </c>
      <c r="B211" s="6" t="s">
        <v>166</v>
      </c>
      <c r="C211" s="6">
        <v>20</v>
      </c>
      <c r="D211" s="6">
        <v>77</v>
      </c>
      <c r="E211" s="6">
        <v>87</v>
      </c>
      <c r="F211" s="6">
        <v>85</v>
      </c>
      <c r="G211" s="6">
        <v>100</v>
      </c>
      <c r="H211" s="6">
        <v>104</v>
      </c>
      <c r="I211" s="13" t="s">
        <v>109</v>
      </c>
      <c r="K211" s="6">
        <v>5</v>
      </c>
    </row>
    <row r="212" spans="1:11" x14ac:dyDescent="0.2">
      <c r="A212" s="22" t="s">
        <v>30</v>
      </c>
      <c r="B212" s="6" t="s">
        <v>167</v>
      </c>
      <c r="C212" s="6">
        <v>13</v>
      </c>
      <c r="D212" s="6">
        <v>87</v>
      </c>
      <c r="E212" s="6">
        <v>88</v>
      </c>
      <c r="F212" s="6">
        <v>89</v>
      </c>
      <c r="G212" s="6">
        <v>94</v>
      </c>
      <c r="H212" s="6">
        <v>92</v>
      </c>
      <c r="I212" s="13" t="s">
        <v>109</v>
      </c>
      <c r="K212" s="6">
        <v>11</v>
      </c>
    </row>
    <row r="213" spans="1:11" x14ac:dyDescent="0.2">
      <c r="A213" s="22" t="s">
        <v>31</v>
      </c>
      <c r="B213" s="6" t="s">
        <v>166</v>
      </c>
      <c r="C213" s="6">
        <v>16</v>
      </c>
      <c r="D213" s="6">
        <v>77</v>
      </c>
      <c r="E213" s="6">
        <v>80</v>
      </c>
      <c r="F213" s="6">
        <v>93</v>
      </c>
      <c r="G213" s="6">
        <v>94</v>
      </c>
      <c r="H213" s="6">
        <v>102</v>
      </c>
      <c r="I213" s="13" t="s">
        <v>109</v>
      </c>
      <c r="K213" s="6">
        <v>10</v>
      </c>
    </row>
    <row r="214" spans="1:11" x14ac:dyDescent="0.2">
      <c r="A214" s="22" t="s">
        <v>32</v>
      </c>
      <c r="B214" s="6" t="s">
        <v>167</v>
      </c>
      <c r="C214" s="6">
        <v>29</v>
      </c>
      <c r="D214" s="6">
        <v>78</v>
      </c>
      <c r="E214" s="6">
        <v>93</v>
      </c>
      <c r="F214" s="6">
        <v>77</v>
      </c>
      <c r="G214" s="6">
        <v>85</v>
      </c>
      <c r="H214" s="6">
        <v>76</v>
      </c>
      <c r="I214" s="13" t="s">
        <v>109</v>
      </c>
      <c r="K214" s="6">
        <v>4</v>
      </c>
    </row>
    <row r="215" spans="1:11" x14ac:dyDescent="0.2">
      <c r="A215" s="22" t="s">
        <v>33</v>
      </c>
      <c r="B215" s="6" t="s">
        <v>166</v>
      </c>
      <c r="C215" s="6">
        <v>20</v>
      </c>
      <c r="D215" s="6">
        <v>92</v>
      </c>
      <c r="E215" s="6">
        <v>86</v>
      </c>
      <c r="F215" s="6">
        <v>82</v>
      </c>
      <c r="G215" s="6">
        <v>82</v>
      </c>
      <c r="H215" s="6">
        <v>78</v>
      </c>
      <c r="I215" s="13" t="s">
        <v>109</v>
      </c>
      <c r="K215" s="6">
        <v>2</v>
      </c>
    </row>
    <row r="216" spans="1:11" x14ac:dyDescent="0.2">
      <c r="A216" s="22" t="s">
        <v>34</v>
      </c>
      <c r="B216" s="6" t="s">
        <v>167</v>
      </c>
      <c r="C216" s="6">
        <v>21</v>
      </c>
      <c r="D216" s="6">
        <v>82</v>
      </c>
      <c r="E216" s="6">
        <v>83</v>
      </c>
      <c r="F216" s="6">
        <v>91</v>
      </c>
      <c r="G216" s="6">
        <v>80</v>
      </c>
      <c r="H216" s="6">
        <v>83</v>
      </c>
      <c r="I216" s="13" t="s">
        <v>109</v>
      </c>
      <c r="K216" s="6">
        <v>8</v>
      </c>
    </row>
    <row r="217" spans="1:11" x14ac:dyDescent="0.2">
      <c r="A217" s="22" t="s">
        <v>35</v>
      </c>
      <c r="B217" s="6" t="s">
        <v>166</v>
      </c>
      <c r="C217" s="6">
        <v>11</v>
      </c>
      <c r="D217" s="6">
        <v>84</v>
      </c>
      <c r="E217" s="6">
        <v>72</v>
      </c>
      <c r="F217" s="6">
        <v>63</v>
      </c>
      <c r="G217" s="6">
        <v>62</v>
      </c>
      <c r="H217" s="6">
        <v>58</v>
      </c>
      <c r="I217" s="13" t="s">
        <v>109</v>
      </c>
      <c r="K217" s="6">
        <v>7</v>
      </c>
    </row>
    <row r="218" spans="1:11" x14ac:dyDescent="0.2">
      <c r="A218" s="22" t="s">
        <v>36</v>
      </c>
      <c r="B218" s="6" t="s">
        <v>167</v>
      </c>
      <c r="C218" s="6">
        <v>33</v>
      </c>
      <c r="D218" s="6">
        <v>71</v>
      </c>
      <c r="E218" s="6">
        <v>74</v>
      </c>
      <c r="F218" s="6">
        <v>74</v>
      </c>
      <c r="G218" s="6">
        <v>79</v>
      </c>
      <c r="H218" s="6">
        <v>73</v>
      </c>
      <c r="I218" s="13" t="s">
        <v>109</v>
      </c>
      <c r="K218" s="6">
        <v>8</v>
      </c>
    </row>
    <row r="219" spans="1:11" x14ac:dyDescent="0.2">
      <c r="A219" s="22" t="s">
        <v>37</v>
      </c>
      <c r="B219" s="6" t="s">
        <v>166</v>
      </c>
      <c r="C219" s="6">
        <v>14</v>
      </c>
      <c r="D219" s="6">
        <v>77</v>
      </c>
      <c r="E219" s="6">
        <v>87</v>
      </c>
      <c r="F219" s="6">
        <v>84</v>
      </c>
      <c r="G219" s="6">
        <v>88</v>
      </c>
      <c r="H219" s="6">
        <v>79</v>
      </c>
      <c r="I219" s="13" t="s">
        <v>109</v>
      </c>
      <c r="K219" s="6">
        <v>3</v>
      </c>
    </row>
    <row r="220" spans="1:11" x14ac:dyDescent="0.2">
      <c r="A220" s="6" t="s">
        <v>14</v>
      </c>
      <c r="B220" s="6" t="s">
        <v>164</v>
      </c>
      <c r="C220" s="6">
        <v>25</v>
      </c>
      <c r="D220" s="6">
        <v>83</v>
      </c>
      <c r="E220" s="6">
        <v>86</v>
      </c>
      <c r="F220" s="6">
        <v>83</v>
      </c>
      <c r="G220" s="6">
        <v>88</v>
      </c>
      <c r="H220" s="6">
        <v>87</v>
      </c>
      <c r="I220" s="13" t="s">
        <v>109</v>
      </c>
    </row>
    <row r="221" spans="1:11" x14ac:dyDescent="0.2">
      <c r="A221" s="6" t="s">
        <v>15</v>
      </c>
      <c r="B221" s="6" t="s">
        <v>164</v>
      </c>
      <c r="C221" s="6">
        <v>29</v>
      </c>
      <c r="D221" s="6">
        <v>75</v>
      </c>
      <c r="E221" s="6">
        <v>79</v>
      </c>
      <c r="F221" s="6">
        <v>80</v>
      </c>
      <c r="G221" s="6">
        <v>84</v>
      </c>
      <c r="H221" s="6">
        <v>83</v>
      </c>
      <c r="I221" s="13" t="s">
        <v>109</v>
      </c>
    </row>
    <row r="222" spans="1:11" x14ac:dyDescent="0.2">
      <c r="A222" s="6" t="s">
        <v>16</v>
      </c>
      <c r="B222" s="6" t="s">
        <v>164</v>
      </c>
      <c r="C222" s="6">
        <v>27</v>
      </c>
      <c r="D222" s="6">
        <v>77</v>
      </c>
      <c r="E222" s="6">
        <v>76</v>
      </c>
      <c r="F222" s="6">
        <v>81</v>
      </c>
      <c r="G222" s="6">
        <v>86</v>
      </c>
      <c r="H222" s="6">
        <v>83</v>
      </c>
      <c r="I222" s="13" t="s">
        <v>109</v>
      </c>
    </row>
    <row r="223" spans="1:11" x14ac:dyDescent="0.2">
      <c r="A223" s="6" t="s">
        <v>17</v>
      </c>
      <c r="B223" s="6" t="s">
        <v>164</v>
      </c>
      <c r="C223" s="6">
        <v>32</v>
      </c>
      <c r="D223" s="6">
        <v>85</v>
      </c>
      <c r="E223" s="6">
        <v>88</v>
      </c>
      <c r="F223" s="6">
        <v>98</v>
      </c>
      <c r="G223" s="6">
        <v>90</v>
      </c>
      <c r="H223" s="6">
        <v>86</v>
      </c>
      <c r="I223" s="13" t="s">
        <v>109</v>
      </c>
    </row>
    <row r="224" spans="1:11" x14ac:dyDescent="0.2">
      <c r="A224" s="6" t="s">
        <v>58</v>
      </c>
      <c r="B224" s="6" t="s">
        <v>164</v>
      </c>
      <c r="C224" s="6">
        <v>40</v>
      </c>
      <c r="D224" s="6">
        <v>99</v>
      </c>
      <c r="E224" s="6">
        <v>98</v>
      </c>
      <c r="F224" s="6">
        <v>100</v>
      </c>
      <c r="G224" s="6">
        <v>103</v>
      </c>
      <c r="H224" s="6">
        <v>106</v>
      </c>
      <c r="I224" s="13" t="s">
        <v>109</v>
      </c>
    </row>
    <row r="225" spans="1:17" x14ac:dyDescent="0.2">
      <c r="A225" s="6" t="s">
        <v>59</v>
      </c>
      <c r="B225" s="6" t="s">
        <v>164</v>
      </c>
      <c r="C225" s="6">
        <v>23</v>
      </c>
      <c r="D225" s="6">
        <v>93</v>
      </c>
      <c r="E225" s="6">
        <v>94</v>
      </c>
      <c r="F225" s="6">
        <v>93</v>
      </c>
      <c r="G225" s="6">
        <v>94</v>
      </c>
      <c r="H225" s="6">
        <v>103</v>
      </c>
      <c r="I225" s="13" t="s">
        <v>109</v>
      </c>
    </row>
    <row r="226" spans="1:17" x14ac:dyDescent="0.2">
      <c r="A226" s="23" t="s">
        <v>38</v>
      </c>
      <c r="B226" s="6" t="s">
        <v>162</v>
      </c>
      <c r="C226" s="6">
        <v>43</v>
      </c>
      <c r="D226" s="6">
        <v>70</v>
      </c>
      <c r="E226" s="6">
        <v>70</v>
      </c>
      <c r="F226" s="6">
        <v>69</v>
      </c>
      <c r="G226" s="6">
        <v>67</v>
      </c>
      <c r="H226" s="6">
        <v>67</v>
      </c>
      <c r="I226" s="13" t="s">
        <v>112</v>
      </c>
    </row>
    <row r="227" spans="1:17" x14ac:dyDescent="0.2">
      <c r="A227" s="23" t="s">
        <v>39</v>
      </c>
      <c r="B227" s="6" t="s">
        <v>163</v>
      </c>
      <c r="C227" s="6">
        <v>2</v>
      </c>
      <c r="D227" s="6">
        <v>61</v>
      </c>
      <c r="E227" s="6">
        <v>27</v>
      </c>
      <c r="F227" s="6">
        <v>0</v>
      </c>
      <c r="G227" s="6">
        <v>0</v>
      </c>
      <c r="H227" s="6">
        <v>0</v>
      </c>
      <c r="I227" s="13" t="s">
        <v>112</v>
      </c>
    </row>
    <row r="228" spans="1:17" x14ac:dyDescent="0.2">
      <c r="A228" s="23" t="s">
        <v>40</v>
      </c>
      <c r="B228" s="6" t="s">
        <v>162</v>
      </c>
      <c r="C228" s="6">
        <v>37</v>
      </c>
      <c r="D228" s="6">
        <v>82</v>
      </c>
      <c r="E228" s="6">
        <v>79</v>
      </c>
      <c r="F228" s="6">
        <v>71</v>
      </c>
      <c r="G228" s="6">
        <v>68</v>
      </c>
      <c r="H228" s="6">
        <v>69</v>
      </c>
      <c r="I228" s="13" t="s">
        <v>111</v>
      </c>
    </row>
    <row r="229" spans="1:17" x14ac:dyDescent="0.2">
      <c r="A229" s="23" t="s">
        <v>41</v>
      </c>
      <c r="B229" s="6" t="s">
        <v>163</v>
      </c>
      <c r="C229" s="6">
        <v>8</v>
      </c>
      <c r="D229" s="6">
        <v>85</v>
      </c>
      <c r="E229" s="6">
        <v>80</v>
      </c>
      <c r="F229" s="6">
        <v>80</v>
      </c>
      <c r="G229" s="6">
        <v>64</v>
      </c>
      <c r="H229" s="6">
        <v>48</v>
      </c>
      <c r="I229" s="13" t="s">
        <v>111</v>
      </c>
    </row>
    <row r="230" spans="1:17" x14ac:dyDescent="0.2">
      <c r="A230" s="23" t="s">
        <v>42</v>
      </c>
      <c r="B230" s="6" t="s">
        <v>162</v>
      </c>
      <c r="C230" s="6">
        <v>26</v>
      </c>
      <c r="D230" s="6">
        <v>66</v>
      </c>
      <c r="E230" s="6">
        <v>54</v>
      </c>
      <c r="F230" s="6">
        <v>67</v>
      </c>
      <c r="G230" s="6">
        <v>60</v>
      </c>
      <c r="H230" s="6">
        <v>59</v>
      </c>
      <c r="I230" s="13" t="s">
        <v>111</v>
      </c>
    </row>
    <row r="231" spans="1:17" x14ac:dyDescent="0.2">
      <c r="A231" s="23" t="s">
        <v>43</v>
      </c>
      <c r="B231" s="6" t="s">
        <v>163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13" t="s">
        <v>111</v>
      </c>
      <c r="J231" s="6" t="s">
        <v>119</v>
      </c>
    </row>
    <row r="232" spans="1:17" x14ac:dyDescent="0.2">
      <c r="A232" s="23" t="s">
        <v>44</v>
      </c>
      <c r="B232" s="6" t="s">
        <v>162</v>
      </c>
      <c r="C232" s="6">
        <v>41</v>
      </c>
      <c r="D232" s="6">
        <v>81</v>
      </c>
      <c r="E232" s="6">
        <v>80</v>
      </c>
      <c r="F232" s="6">
        <v>65</v>
      </c>
      <c r="G232" s="6">
        <v>59</v>
      </c>
      <c r="H232" s="6">
        <v>60</v>
      </c>
      <c r="I232" s="13" t="s">
        <v>111</v>
      </c>
    </row>
    <row r="233" spans="1:17" x14ac:dyDescent="0.2">
      <c r="A233" s="23" t="s">
        <v>45</v>
      </c>
      <c r="B233" s="6" t="s">
        <v>163</v>
      </c>
      <c r="C233" s="6">
        <v>5</v>
      </c>
      <c r="D233" s="6">
        <v>50</v>
      </c>
      <c r="E233" s="6">
        <v>33</v>
      </c>
      <c r="F233" s="6">
        <v>41</v>
      </c>
      <c r="G233" s="6">
        <v>30</v>
      </c>
      <c r="H233" s="6">
        <v>21</v>
      </c>
      <c r="I233" s="13" t="s">
        <v>111</v>
      </c>
    </row>
    <row r="234" spans="1:17" x14ac:dyDescent="0.2">
      <c r="A234" s="23" t="s">
        <v>46</v>
      </c>
      <c r="B234" s="6" t="s">
        <v>162</v>
      </c>
      <c r="C234" s="6">
        <v>29</v>
      </c>
      <c r="D234" s="6">
        <v>76</v>
      </c>
      <c r="E234" s="6">
        <v>75</v>
      </c>
      <c r="F234" s="6">
        <v>75</v>
      </c>
      <c r="G234" s="6">
        <v>72</v>
      </c>
      <c r="H234" s="6">
        <v>73</v>
      </c>
      <c r="I234" s="13" t="s">
        <v>111</v>
      </c>
    </row>
    <row r="235" spans="1:17" x14ac:dyDescent="0.2">
      <c r="A235" s="23" t="s">
        <v>47</v>
      </c>
      <c r="B235" s="6" t="s">
        <v>163</v>
      </c>
      <c r="I235" s="13" t="s">
        <v>111</v>
      </c>
      <c r="J235" s="6" t="s">
        <v>120</v>
      </c>
      <c r="L235" s="6">
        <v>4</v>
      </c>
      <c r="M235" s="6">
        <v>29</v>
      </c>
      <c r="N235" s="6">
        <v>29</v>
      </c>
      <c r="O235" s="6">
        <v>31</v>
      </c>
      <c r="P235">
        <v>29</v>
      </c>
      <c r="Q235">
        <v>0</v>
      </c>
    </row>
    <row r="236" spans="1:17" x14ac:dyDescent="0.2">
      <c r="A236" s="23" t="s">
        <v>48</v>
      </c>
      <c r="B236" s="6" t="s">
        <v>162</v>
      </c>
      <c r="C236" s="6">
        <v>31</v>
      </c>
      <c r="D236" s="6">
        <v>81</v>
      </c>
      <c r="E236" s="6">
        <v>84</v>
      </c>
      <c r="F236" s="6">
        <v>78</v>
      </c>
      <c r="G236" s="6">
        <v>76</v>
      </c>
      <c r="H236" s="6">
        <v>72</v>
      </c>
      <c r="I236" s="13" t="s">
        <v>111</v>
      </c>
    </row>
    <row r="237" spans="1:17" x14ac:dyDescent="0.2">
      <c r="A237" s="23" t="s">
        <v>49</v>
      </c>
      <c r="B237" s="6" t="s">
        <v>163</v>
      </c>
      <c r="C237" s="6">
        <v>7</v>
      </c>
      <c r="D237" s="6">
        <v>50</v>
      </c>
      <c r="E237" s="6">
        <v>50</v>
      </c>
      <c r="F237" s="6">
        <v>46</v>
      </c>
      <c r="G237" s="6">
        <v>40</v>
      </c>
      <c r="H237" s="6">
        <v>45</v>
      </c>
      <c r="I237" s="13" t="s">
        <v>111</v>
      </c>
    </row>
    <row r="238" spans="1:17" x14ac:dyDescent="0.2">
      <c r="A238" s="23" t="s">
        <v>50</v>
      </c>
      <c r="B238" s="6" t="s">
        <v>162</v>
      </c>
      <c r="C238" s="6">
        <v>33</v>
      </c>
      <c r="D238" s="6">
        <v>70</v>
      </c>
      <c r="E238" s="6">
        <v>67</v>
      </c>
      <c r="F238" s="6">
        <v>66</v>
      </c>
      <c r="G238" s="6">
        <v>69</v>
      </c>
      <c r="H238" s="6">
        <v>70</v>
      </c>
      <c r="I238" s="13" t="s">
        <v>111</v>
      </c>
    </row>
    <row r="239" spans="1:17" x14ac:dyDescent="0.2">
      <c r="A239" s="23" t="s">
        <v>51</v>
      </c>
      <c r="B239" s="6" t="s">
        <v>163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13" t="s">
        <v>111</v>
      </c>
      <c r="J239" s="6" t="s">
        <v>121</v>
      </c>
      <c r="L239" s="6">
        <v>0</v>
      </c>
      <c r="M239" s="6">
        <v>0</v>
      </c>
      <c r="N239" s="6">
        <v>0</v>
      </c>
      <c r="O239" s="6">
        <v>0</v>
      </c>
      <c r="P239">
        <v>0</v>
      </c>
      <c r="Q239">
        <v>0</v>
      </c>
    </row>
    <row r="240" spans="1:17" x14ac:dyDescent="0.2">
      <c r="A240" s="23" t="s">
        <v>52</v>
      </c>
      <c r="B240" s="6" t="s">
        <v>162</v>
      </c>
      <c r="C240" s="6">
        <v>23</v>
      </c>
      <c r="D240" s="6">
        <v>80</v>
      </c>
      <c r="E240" s="6">
        <v>81</v>
      </c>
      <c r="F240" s="6">
        <v>71</v>
      </c>
      <c r="G240" s="6">
        <v>60</v>
      </c>
      <c r="H240" s="6">
        <v>59</v>
      </c>
      <c r="I240" s="13" t="s">
        <v>111</v>
      </c>
    </row>
    <row r="241" spans="1:17" x14ac:dyDescent="0.2">
      <c r="A241" s="23" t="s">
        <v>53</v>
      </c>
      <c r="B241" s="6" t="s">
        <v>163</v>
      </c>
      <c r="I241" s="13" t="s">
        <v>111</v>
      </c>
      <c r="J241" s="10" t="s">
        <v>75</v>
      </c>
      <c r="L241" s="10">
        <v>13</v>
      </c>
      <c r="M241" s="10">
        <v>45</v>
      </c>
      <c r="N241" s="10">
        <v>45</v>
      </c>
      <c r="O241" s="10">
        <v>43</v>
      </c>
      <c r="P241" s="4">
        <v>37</v>
      </c>
      <c r="Q241" s="4">
        <v>0</v>
      </c>
    </row>
    <row r="242" spans="1:17" x14ac:dyDescent="0.2">
      <c r="A242" s="23" t="s">
        <v>54</v>
      </c>
      <c r="B242" s="6" t="s">
        <v>162</v>
      </c>
      <c r="C242" s="6">
        <v>54</v>
      </c>
      <c r="D242" s="6">
        <v>77</v>
      </c>
      <c r="E242" s="6">
        <v>68</v>
      </c>
      <c r="F242" s="6">
        <v>67</v>
      </c>
      <c r="G242" s="6">
        <v>59</v>
      </c>
      <c r="H242" s="6">
        <v>60</v>
      </c>
      <c r="I242" s="13" t="s">
        <v>111</v>
      </c>
    </row>
    <row r="243" spans="1:17" x14ac:dyDescent="0.2">
      <c r="A243" s="23" t="s">
        <v>55</v>
      </c>
      <c r="B243" s="6" t="s">
        <v>163</v>
      </c>
      <c r="C243" s="6">
        <v>44</v>
      </c>
      <c r="D243" s="6">
        <v>81</v>
      </c>
      <c r="E243" s="6">
        <v>83</v>
      </c>
      <c r="F243" s="6">
        <v>77</v>
      </c>
      <c r="G243" s="6">
        <v>76</v>
      </c>
      <c r="H243" s="6">
        <v>71</v>
      </c>
      <c r="I243" s="13" t="s">
        <v>111</v>
      </c>
    </row>
    <row r="244" spans="1:17" x14ac:dyDescent="0.2">
      <c r="A244" s="23" t="s">
        <v>56</v>
      </c>
      <c r="B244" s="6" t="s">
        <v>162</v>
      </c>
      <c r="C244" s="6">
        <v>37</v>
      </c>
      <c r="D244" s="6">
        <v>91</v>
      </c>
      <c r="E244" s="6">
        <v>80</v>
      </c>
      <c r="F244" s="6">
        <v>78</v>
      </c>
      <c r="G244" s="6">
        <v>79</v>
      </c>
      <c r="H244" s="6">
        <v>69</v>
      </c>
      <c r="I244" s="13" t="s">
        <v>111</v>
      </c>
    </row>
    <row r="245" spans="1:17" x14ac:dyDescent="0.2">
      <c r="A245" s="23" t="s">
        <v>57</v>
      </c>
      <c r="B245" s="6" t="s">
        <v>163</v>
      </c>
      <c r="C245" s="6">
        <v>7</v>
      </c>
      <c r="D245" s="6">
        <v>58</v>
      </c>
      <c r="E245" s="6">
        <v>40</v>
      </c>
      <c r="F245" s="6">
        <v>39</v>
      </c>
      <c r="G245" s="6">
        <v>41</v>
      </c>
      <c r="H245" s="6">
        <v>47</v>
      </c>
      <c r="I245" s="13" t="s">
        <v>111</v>
      </c>
    </row>
    <row r="246" spans="1:17" x14ac:dyDescent="0.2">
      <c r="A246" s="25" t="s">
        <v>3</v>
      </c>
      <c r="B246" s="6" t="s">
        <v>76</v>
      </c>
      <c r="C246" s="6">
        <v>27</v>
      </c>
      <c r="D246" s="6">
        <v>64</v>
      </c>
      <c r="E246" s="6">
        <v>64</v>
      </c>
      <c r="F246" s="6">
        <v>57</v>
      </c>
      <c r="G246" s="6">
        <v>56</v>
      </c>
      <c r="H246" s="6">
        <v>55</v>
      </c>
      <c r="I246" s="13" t="s">
        <v>111</v>
      </c>
    </row>
    <row r="247" spans="1:17" x14ac:dyDescent="0.2">
      <c r="A247" s="25" t="s">
        <v>4</v>
      </c>
      <c r="B247" s="6" t="s">
        <v>76</v>
      </c>
      <c r="C247" s="6">
        <v>22</v>
      </c>
      <c r="D247" s="6">
        <v>78</v>
      </c>
      <c r="E247" s="6">
        <v>69</v>
      </c>
      <c r="F247" s="6">
        <v>62</v>
      </c>
      <c r="G247" s="6">
        <v>59</v>
      </c>
      <c r="H247" s="6">
        <v>59</v>
      </c>
      <c r="I247" s="13" t="s">
        <v>111</v>
      </c>
    </row>
    <row r="248" spans="1:17" x14ac:dyDescent="0.2">
      <c r="A248" s="25" t="s">
        <v>5</v>
      </c>
      <c r="B248" s="6" t="s">
        <v>76</v>
      </c>
      <c r="C248" s="6">
        <v>34</v>
      </c>
      <c r="D248" s="6">
        <v>70</v>
      </c>
      <c r="E248" s="6">
        <v>69</v>
      </c>
      <c r="F248" s="6">
        <v>62</v>
      </c>
      <c r="G248" s="6">
        <v>62</v>
      </c>
      <c r="H248" s="6">
        <v>56</v>
      </c>
      <c r="I248" s="13" t="s">
        <v>111</v>
      </c>
    </row>
    <row r="249" spans="1:17" x14ac:dyDescent="0.2">
      <c r="A249" s="25" t="s">
        <v>6</v>
      </c>
      <c r="B249" s="6" t="s">
        <v>76</v>
      </c>
      <c r="C249" s="6">
        <v>27</v>
      </c>
      <c r="D249" s="6">
        <v>68</v>
      </c>
      <c r="E249" s="6">
        <v>67</v>
      </c>
      <c r="F249" s="6">
        <v>63</v>
      </c>
      <c r="G249" s="6">
        <v>64</v>
      </c>
      <c r="H249" s="6">
        <v>63</v>
      </c>
      <c r="I249" s="13" t="s">
        <v>111</v>
      </c>
    </row>
    <row r="250" spans="1:17" x14ac:dyDescent="0.2">
      <c r="A250" s="25" t="s">
        <v>7</v>
      </c>
      <c r="B250" s="6" t="s">
        <v>76</v>
      </c>
      <c r="C250" s="6">
        <v>33</v>
      </c>
      <c r="D250" s="6">
        <v>83</v>
      </c>
      <c r="E250" s="6">
        <v>77</v>
      </c>
      <c r="F250" s="6">
        <v>75</v>
      </c>
      <c r="G250" s="6">
        <v>75</v>
      </c>
      <c r="H250" s="6">
        <v>72</v>
      </c>
      <c r="I250" s="13" t="s">
        <v>111</v>
      </c>
    </row>
    <row r="251" spans="1:17" x14ac:dyDescent="0.2">
      <c r="A251" s="25" t="s">
        <v>8</v>
      </c>
      <c r="B251" s="6" t="s">
        <v>76</v>
      </c>
      <c r="C251" s="6">
        <v>29</v>
      </c>
      <c r="D251" s="6">
        <v>86</v>
      </c>
      <c r="E251" s="6">
        <v>85</v>
      </c>
      <c r="F251" s="6">
        <v>77</v>
      </c>
      <c r="G251" s="6">
        <v>76</v>
      </c>
      <c r="H251" s="6">
        <v>74</v>
      </c>
      <c r="I251" s="13" t="s">
        <v>111</v>
      </c>
    </row>
    <row r="252" spans="1:17" x14ac:dyDescent="0.2">
      <c r="A252" s="25" t="s">
        <v>9</v>
      </c>
      <c r="B252" s="6" t="s">
        <v>76</v>
      </c>
      <c r="C252" s="6">
        <v>19</v>
      </c>
      <c r="D252" s="6">
        <v>72</v>
      </c>
      <c r="E252" s="6">
        <v>72</v>
      </c>
      <c r="F252" s="6">
        <v>71</v>
      </c>
      <c r="G252" s="6">
        <v>70</v>
      </c>
      <c r="H252" s="6">
        <v>65</v>
      </c>
      <c r="I252" s="13" t="s">
        <v>111</v>
      </c>
    </row>
    <row r="253" spans="1:17" x14ac:dyDescent="0.2">
      <c r="A253" s="25" t="s">
        <v>10</v>
      </c>
      <c r="B253" s="6" t="s">
        <v>76</v>
      </c>
      <c r="C253" s="6">
        <v>34</v>
      </c>
      <c r="D253" s="6">
        <v>86</v>
      </c>
      <c r="E253" s="6">
        <v>82</v>
      </c>
      <c r="F253" s="6">
        <v>83</v>
      </c>
      <c r="G253" s="6">
        <v>80</v>
      </c>
      <c r="H253" s="6">
        <v>74</v>
      </c>
      <c r="I253" s="13" t="s">
        <v>111</v>
      </c>
    </row>
    <row r="254" spans="1:17" x14ac:dyDescent="0.2">
      <c r="A254" s="25" t="s">
        <v>11</v>
      </c>
      <c r="B254" s="6" t="s">
        <v>76</v>
      </c>
      <c r="C254" s="6">
        <v>49</v>
      </c>
      <c r="D254" s="6">
        <v>93</v>
      </c>
      <c r="E254" s="6">
        <v>80</v>
      </c>
      <c r="F254" s="6">
        <v>80</v>
      </c>
      <c r="G254" s="6">
        <v>73</v>
      </c>
      <c r="H254" s="6">
        <v>74</v>
      </c>
      <c r="I254" s="13" t="s">
        <v>111</v>
      </c>
    </row>
    <row r="255" spans="1:17" x14ac:dyDescent="0.2">
      <c r="A255" s="25" t="s">
        <v>12</v>
      </c>
      <c r="B255" s="6" t="s">
        <v>76</v>
      </c>
      <c r="C255" s="6">
        <v>10</v>
      </c>
      <c r="D255" s="6">
        <v>75</v>
      </c>
      <c r="E255" s="6">
        <v>77</v>
      </c>
      <c r="F255" s="6">
        <v>66</v>
      </c>
      <c r="G255" s="6">
        <v>63</v>
      </c>
      <c r="H255" s="6">
        <v>61</v>
      </c>
      <c r="I255" s="13" t="s">
        <v>111</v>
      </c>
    </row>
    <row r="256" spans="1:17" x14ac:dyDescent="0.2">
      <c r="A256" s="22" t="s">
        <v>18</v>
      </c>
      <c r="B256" s="6" t="s">
        <v>167</v>
      </c>
      <c r="C256" s="6">
        <v>18</v>
      </c>
      <c r="D256" s="6">
        <v>84</v>
      </c>
      <c r="E256" s="6">
        <v>77</v>
      </c>
      <c r="F256" s="6">
        <v>76</v>
      </c>
      <c r="G256" s="6">
        <v>67</v>
      </c>
      <c r="H256" s="6">
        <v>66</v>
      </c>
      <c r="I256" s="13" t="s">
        <v>111</v>
      </c>
    </row>
    <row r="257" spans="1:17" x14ac:dyDescent="0.2">
      <c r="A257" s="22" t="s">
        <v>19</v>
      </c>
      <c r="B257" s="6" t="s">
        <v>166</v>
      </c>
      <c r="C257" s="6">
        <v>11</v>
      </c>
      <c r="D257" s="6">
        <v>73</v>
      </c>
      <c r="E257" s="6">
        <v>84</v>
      </c>
      <c r="F257" s="6">
        <v>78</v>
      </c>
      <c r="G257" s="6">
        <v>84</v>
      </c>
      <c r="H257" s="6">
        <v>92</v>
      </c>
      <c r="I257" s="13" t="s">
        <v>111</v>
      </c>
    </row>
    <row r="258" spans="1:17" x14ac:dyDescent="0.2">
      <c r="A258" s="22" t="s">
        <v>20</v>
      </c>
      <c r="B258" s="6" t="s">
        <v>167</v>
      </c>
      <c r="C258" s="6">
        <v>33</v>
      </c>
      <c r="D258" s="6">
        <v>86</v>
      </c>
      <c r="E258" s="6">
        <v>80</v>
      </c>
      <c r="F258" s="6">
        <v>80</v>
      </c>
      <c r="G258" s="6">
        <v>77</v>
      </c>
      <c r="H258" s="6">
        <v>79</v>
      </c>
      <c r="I258" s="13" t="s">
        <v>111</v>
      </c>
    </row>
    <row r="259" spans="1:17" x14ac:dyDescent="0.2">
      <c r="A259" s="22" t="s">
        <v>21</v>
      </c>
      <c r="B259" s="6" t="s">
        <v>166</v>
      </c>
      <c r="I259" s="13" t="s">
        <v>111</v>
      </c>
      <c r="L259" s="6">
        <v>8</v>
      </c>
      <c r="M259" s="6">
        <v>44</v>
      </c>
      <c r="N259" s="6">
        <v>49</v>
      </c>
      <c r="O259" s="6">
        <v>77</v>
      </c>
      <c r="P259">
        <v>40</v>
      </c>
      <c r="Q259">
        <v>46</v>
      </c>
    </row>
    <row r="260" spans="1:17" x14ac:dyDescent="0.2">
      <c r="A260" s="22" t="s">
        <v>22</v>
      </c>
      <c r="B260" s="6" t="s">
        <v>167</v>
      </c>
      <c r="C260" s="6">
        <v>40</v>
      </c>
      <c r="D260" s="6">
        <v>80</v>
      </c>
      <c r="E260" s="6">
        <v>75</v>
      </c>
      <c r="F260" s="6">
        <v>74</v>
      </c>
      <c r="G260" s="6">
        <v>73</v>
      </c>
      <c r="H260" s="6">
        <v>76</v>
      </c>
      <c r="I260" s="13" t="s">
        <v>111</v>
      </c>
    </row>
    <row r="261" spans="1:17" x14ac:dyDescent="0.2">
      <c r="A261" s="22" t="s">
        <v>23</v>
      </c>
      <c r="B261" s="6" t="s">
        <v>166</v>
      </c>
      <c r="C261" s="6">
        <v>21</v>
      </c>
      <c r="D261" s="6">
        <v>96</v>
      </c>
      <c r="E261" s="6">
        <v>90</v>
      </c>
      <c r="F261" s="6">
        <v>85</v>
      </c>
      <c r="G261" s="6">
        <v>88</v>
      </c>
      <c r="H261" s="6">
        <v>77</v>
      </c>
      <c r="I261" s="13" t="s">
        <v>111</v>
      </c>
    </row>
    <row r="262" spans="1:17" x14ac:dyDescent="0.2">
      <c r="A262" s="22" t="s">
        <v>24</v>
      </c>
      <c r="B262" s="6" t="s">
        <v>167</v>
      </c>
      <c r="C262" s="6">
        <v>22</v>
      </c>
      <c r="D262" s="6">
        <v>77</v>
      </c>
      <c r="E262" s="6">
        <v>73</v>
      </c>
      <c r="F262" s="6">
        <v>72</v>
      </c>
      <c r="G262" s="6">
        <v>72</v>
      </c>
      <c r="H262" s="6">
        <v>71</v>
      </c>
      <c r="I262" s="13" t="s">
        <v>111</v>
      </c>
    </row>
    <row r="263" spans="1:17" x14ac:dyDescent="0.2">
      <c r="A263" s="22" t="s">
        <v>25</v>
      </c>
      <c r="B263" s="6" t="s">
        <v>166</v>
      </c>
      <c r="C263" s="6">
        <v>11</v>
      </c>
      <c r="D263" s="6">
        <v>86</v>
      </c>
      <c r="E263" s="6">
        <v>83</v>
      </c>
      <c r="F263" s="6">
        <v>63</v>
      </c>
      <c r="G263" s="6">
        <v>65</v>
      </c>
      <c r="H263" s="6">
        <v>65</v>
      </c>
      <c r="I263" s="13" t="s">
        <v>111</v>
      </c>
    </row>
    <row r="264" spans="1:17" x14ac:dyDescent="0.2">
      <c r="A264" s="22" t="s">
        <v>26</v>
      </c>
      <c r="B264" s="6" t="s">
        <v>167</v>
      </c>
      <c r="C264" s="6">
        <v>19</v>
      </c>
      <c r="D264" s="6">
        <v>54</v>
      </c>
      <c r="E264" s="6">
        <v>58</v>
      </c>
      <c r="F264" s="6">
        <v>60</v>
      </c>
      <c r="G264" s="6">
        <v>67</v>
      </c>
      <c r="H264" s="6">
        <v>67</v>
      </c>
      <c r="I264" s="13" t="s">
        <v>111</v>
      </c>
    </row>
    <row r="265" spans="1:17" x14ac:dyDescent="0.2">
      <c r="A265" s="22" t="s">
        <v>27</v>
      </c>
      <c r="B265" s="6" t="s">
        <v>166</v>
      </c>
      <c r="C265" s="6">
        <v>16</v>
      </c>
      <c r="D265" s="6">
        <v>76</v>
      </c>
      <c r="E265" s="6">
        <v>80</v>
      </c>
      <c r="F265" s="6">
        <v>84</v>
      </c>
      <c r="G265" s="6">
        <v>84</v>
      </c>
      <c r="H265" s="6">
        <v>94</v>
      </c>
      <c r="I265" s="13" t="s">
        <v>111</v>
      </c>
    </row>
    <row r="266" spans="1:17" x14ac:dyDescent="0.2">
      <c r="A266" s="22" t="s">
        <v>28</v>
      </c>
      <c r="B266" s="6" t="s">
        <v>167</v>
      </c>
      <c r="C266" s="6">
        <v>24</v>
      </c>
      <c r="D266" s="6">
        <v>80</v>
      </c>
      <c r="E266" s="6">
        <v>89</v>
      </c>
      <c r="F266" s="6">
        <v>83</v>
      </c>
      <c r="G266" s="6">
        <v>78</v>
      </c>
      <c r="H266" s="6">
        <v>78</v>
      </c>
      <c r="I266" s="13" t="s">
        <v>111</v>
      </c>
    </row>
    <row r="267" spans="1:17" x14ac:dyDescent="0.2">
      <c r="A267" s="22" t="s">
        <v>29</v>
      </c>
      <c r="B267" s="6" t="s">
        <v>166</v>
      </c>
      <c r="C267" s="6">
        <v>20</v>
      </c>
      <c r="D267" s="6">
        <v>84</v>
      </c>
      <c r="E267" s="6">
        <v>83</v>
      </c>
      <c r="F267" s="6">
        <v>74</v>
      </c>
      <c r="G267" s="6">
        <v>78</v>
      </c>
      <c r="H267" s="6">
        <v>70</v>
      </c>
      <c r="I267" s="13" t="s">
        <v>111</v>
      </c>
    </row>
    <row r="268" spans="1:17" x14ac:dyDescent="0.2">
      <c r="A268" s="22" t="s">
        <v>30</v>
      </c>
      <c r="B268" s="6" t="s">
        <v>167</v>
      </c>
      <c r="C268" s="6">
        <v>21</v>
      </c>
      <c r="D268" s="6">
        <v>90</v>
      </c>
      <c r="E268" s="6">
        <v>88</v>
      </c>
      <c r="F268" s="6">
        <v>85</v>
      </c>
      <c r="G268" s="6">
        <v>77</v>
      </c>
      <c r="H268" s="6">
        <v>78</v>
      </c>
      <c r="I268" s="13" t="s">
        <v>111</v>
      </c>
    </row>
    <row r="269" spans="1:17" x14ac:dyDescent="0.2">
      <c r="A269" s="22" t="s">
        <v>31</v>
      </c>
      <c r="B269" s="6" t="s">
        <v>166</v>
      </c>
      <c r="C269" s="6">
        <v>19</v>
      </c>
      <c r="D269" s="6">
        <v>100</v>
      </c>
      <c r="E269" s="6">
        <v>94</v>
      </c>
      <c r="F269" s="6">
        <v>94</v>
      </c>
      <c r="G269" s="6">
        <v>80</v>
      </c>
      <c r="H269" s="6">
        <v>76</v>
      </c>
      <c r="I269" s="13" t="s">
        <v>111</v>
      </c>
    </row>
    <row r="270" spans="1:17" x14ac:dyDescent="0.2">
      <c r="A270" s="22" t="s">
        <v>32</v>
      </c>
      <c r="B270" s="6" t="s">
        <v>167</v>
      </c>
      <c r="C270" s="6">
        <v>32</v>
      </c>
      <c r="D270" s="6">
        <v>88</v>
      </c>
      <c r="E270" s="6">
        <v>79</v>
      </c>
      <c r="F270" s="6">
        <v>71</v>
      </c>
      <c r="G270" s="6">
        <v>69</v>
      </c>
      <c r="H270" s="6">
        <v>68</v>
      </c>
      <c r="I270" s="13" t="s">
        <v>111</v>
      </c>
    </row>
    <row r="271" spans="1:17" x14ac:dyDescent="0.2">
      <c r="A271" s="22" t="s">
        <v>33</v>
      </c>
      <c r="B271" s="6" t="s">
        <v>166</v>
      </c>
      <c r="C271" s="6">
        <v>22</v>
      </c>
      <c r="D271" s="6">
        <v>80</v>
      </c>
      <c r="E271" s="6">
        <v>74</v>
      </c>
      <c r="F271" s="6">
        <v>65</v>
      </c>
      <c r="G271" s="6">
        <v>68</v>
      </c>
      <c r="H271" s="6">
        <v>58</v>
      </c>
      <c r="I271" s="13" t="s">
        <v>111</v>
      </c>
    </row>
    <row r="272" spans="1:17" x14ac:dyDescent="0.2">
      <c r="A272" s="22" t="s">
        <v>34</v>
      </c>
      <c r="B272" s="6" t="s">
        <v>167</v>
      </c>
      <c r="C272" s="6">
        <v>22</v>
      </c>
      <c r="D272" s="6">
        <v>93</v>
      </c>
      <c r="E272" s="6">
        <v>80</v>
      </c>
      <c r="F272" s="6">
        <v>83</v>
      </c>
      <c r="G272" s="6">
        <v>79</v>
      </c>
      <c r="H272" s="6">
        <v>77</v>
      </c>
      <c r="I272" s="13" t="s">
        <v>111</v>
      </c>
    </row>
    <row r="273" spans="1:17" x14ac:dyDescent="0.2">
      <c r="A273" s="22" t="s">
        <v>35</v>
      </c>
      <c r="B273" s="6" t="s">
        <v>166</v>
      </c>
      <c r="C273" s="6">
        <v>15</v>
      </c>
      <c r="D273" s="6">
        <v>87</v>
      </c>
      <c r="E273" s="6">
        <v>75</v>
      </c>
      <c r="F273" s="6">
        <v>73</v>
      </c>
      <c r="G273" s="6">
        <v>67</v>
      </c>
      <c r="H273" s="6">
        <v>64</v>
      </c>
      <c r="I273" s="13" t="s">
        <v>111</v>
      </c>
    </row>
    <row r="274" spans="1:17" x14ac:dyDescent="0.2">
      <c r="A274" s="22" t="s">
        <v>36</v>
      </c>
      <c r="B274" s="6" t="s">
        <v>167</v>
      </c>
      <c r="C274" s="6">
        <v>31</v>
      </c>
      <c r="D274" s="6">
        <v>75</v>
      </c>
      <c r="E274" s="6">
        <v>71</v>
      </c>
      <c r="F274" s="6">
        <v>64</v>
      </c>
      <c r="G274" s="6">
        <v>61</v>
      </c>
      <c r="H274" s="6">
        <v>50</v>
      </c>
      <c r="I274" s="13" t="s">
        <v>111</v>
      </c>
    </row>
    <row r="275" spans="1:17" x14ac:dyDescent="0.2">
      <c r="A275" s="22" t="s">
        <v>37</v>
      </c>
      <c r="B275" s="6" t="s">
        <v>166</v>
      </c>
      <c r="C275" s="6">
        <v>14</v>
      </c>
      <c r="D275" s="6">
        <v>86</v>
      </c>
      <c r="E275" s="6">
        <v>82</v>
      </c>
      <c r="F275" s="6">
        <v>80</v>
      </c>
      <c r="G275" s="6">
        <v>84</v>
      </c>
      <c r="H275" s="6">
        <v>85</v>
      </c>
      <c r="I275" s="13" t="s">
        <v>111</v>
      </c>
    </row>
    <row r="276" spans="1:17" x14ac:dyDescent="0.2">
      <c r="A276" s="6" t="s">
        <v>14</v>
      </c>
      <c r="B276" s="6" t="s">
        <v>164</v>
      </c>
      <c r="C276" s="6">
        <v>28</v>
      </c>
      <c r="D276" s="6">
        <v>85</v>
      </c>
      <c r="E276" s="6">
        <v>80</v>
      </c>
      <c r="F276" s="6">
        <v>76</v>
      </c>
      <c r="G276" s="6">
        <v>78</v>
      </c>
      <c r="H276" s="6">
        <v>73</v>
      </c>
      <c r="I276" s="13" t="s">
        <v>111</v>
      </c>
    </row>
    <row r="277" spans="1:17" x14ac:dyDescent="0.2">
      <c r="A277" s="6" t="s">
        <v>15</v>
      </c>
      <c r="B277" s="6" t="s">
        <v>164</v>
      </c>
      <c r="C277" s="6">
        <v>24</v>
      </c>
      <c r="D277" s="6">
        <v>86</v>
      </c>
      <c r="E277" s="6">
        <v>81</v>
      </c>
      <c r="F277" s="6">
        <v>79</v>
      </c>
      <c r="G277" s="6">
        <v>81</v>
      </c>
      <c r="H277" s="6">
        <v>78</v>
      </c>
      <c r="I277" s="13" t="s">
        <v>111</v>
      </c>
    </row>
    <row r="278" spans="1:17" x14ac:dyDescent="0.2">
      <c r="A278" s="6" t="s">
        <v>16</v>
      </c>
      <c r="B278" s="6" t="s">
        <v>164</v>
      </c>
      <c r="C278" s="6">
        <v>31</v>
      </c>
      <c r="D278" s="6">
        <v>91</v>
      </c>
      <c r="E278" s="6">
        <v>84</v>
      </c>
      <c r="F278" s="6">
        <v>89</v>
      </c>
      <c r="G278" s="6">
        <v>76</v>
      </c>
      <c r="H278" s="6">
        <v>74</v>
      </c>
      <c r="I278" s="13" t="s">
        <v>111</v>
      </c>
    </row>
    <row r="279" spans="1:17" x14ac:dyDescent="0.2">
      <c r="A279" s="6" t="s">
        <v>17</v>
      </c>
      <c r="B279" s="6" t="s">
        <v>164</v>
      </c>
      <c r="C279" s="6">
        <v>33</v>
      </c>
      <c r="D279" s="6">
        <v>90</v>
      </c>
      <c r="E279" s="6">
        <v>90</v>
      </c>
      <c r="F279" s="6">
        <v>87</v>
      </c>
      <c r="G279" s="6">
        <v>89</v>
      </c>
      <c r="H279" s="6">
        <v>97</v>
      </c>
      <c r="I279" s="13" t="s">
        <v>111</v>
      </c>
    </row>
    <row r="280" spans="1:17" x14ac:dyDescent="0.2">
      <c r="A280" s="6" t="s">
        <v>58</v>
      </c>
      <c r="B280" s="6" t="s">
        <v>164</v>
      </c>
      <c r="C280" s="6">
        <v>46</v>
      </c>
      <c r="D280" s="6">
        <v>100</v>
      </c>
      <c r="E280" s="6">
        <v>98</v>
      </c>
      <c r="F280" s="6">
        <v>96</v>
      </c>
      <c r="G280" s="6">
        <v>94</v>
      </c>
      <c r="H280" s="6">
        <v>92</v>
      </c>
      <c r="I280" s="13" t="s">
        <v>111</v>
      </c>
    </row>
    <row r="281" spans="1:17" x14ac:dyDescent="0.2">
      <c r="A281" s="6" t="s">
        <v>59</v>
      </c>
      <c r="B281" s="6" t="s">
        <v>164</v>
      </c>
      <c r="C281" s="6">
        <v>25</v>
      </c>
      <c r="D281" s="6">
        <v>100</v>
      </c>
      <c r="E281" s="6">
        <v>91</v>
      </c>
      <c r="F281" s="6">
        <v>95</v>
      </c>
      <c r="G281" s="6">
        <v>89</v>
      </c>
      <c r="H281" s="6">
        <v>88</v>
      </c>
      <c r="I281" s="13" t="s">
        <v>111</v>
      </c>
    </row>
    <row r="282" spans="1:17" x14ac:dyDescent="0.2">
      <c r="A282" s="5" t="s">
        <v>38</v>
      </c>
      <c r="B282" s="6" t="s">
        <v>162</v>
      </c>
      <c r="C282" s="6">
        <v>64</v>
      </c>
      <c r="D282" s="6">
        <v>78</v>
      </c>
      <c r="E282" s="6">
        <v>70</v>
      </c>
      <c r="F282" s="6">
        <v>68</v>
      </c>
      <c r="G282" s="6">
        <v>66</v>
      </c>
      <c r="H282" s="6">
        <v>63</v>
      </c>
      <c r="I282" s="13" t="s">
        <v>114</v>
      </c>
    </row>
    <row r="283" spans="1:17" x14ac:dyDescent="0.2">
      <c r="A283" s="5" t="s">
        <v>39</v>
      </c>
      <c r="B283" s="6" t="s">
        <v>163</v>
      </c>
      <c r="C283" s="6">
        <v>0</v>
      </c>
      <c r="D283" s="6">
        <v>0</v>
      </c>
      <c r="E283" s="6">
        <v>0</v>
      </c>
      <c r="F283" s="27">
        <v>0</v>
      </c>
      <c r="G283" s="6">
        <v>0</v>
      </c>
      <c r="H283" s="6">
        <v>0</v>
      </c>
      <c r="I283" s="13" t="s">
        <v>115</v>
      </c>
      <c r="J283" s="6" t="s">
        <v>97</v>
      </c>
    </row>
    <row r="284" spans="1:17" x14ac:dyDescent="0.2">
      <c r="A284" s="5" t="s">
        <v>40</v>
      </c>
      <c r="B284" s="6" t="s">
        <v>162</v>
      </c>
      <c r="C284" s="27">
        <v>45</v>
      </c>
      <c r="D284" s="6">
        <v>48</v>
      </c>
      <c r="E284" s="6">
        <v>45</v>
      </c>
      <c r="F284" s="6">
        <v>41</v>
      </c>
      <c r="G284" s="6">
        <v>49</v>
      </c>
      <c r="H284" s="6">
        <v>49</v>
      </c>
      <c r="I284" s="13" t="s">
        <v>113</v>
      </c>
      <c r="J284" s="6" t="s">
        <v>98</v>
      </c>
    </row>
    <row r="285" spans="1:17" x14ac:dyDescent="0.2">
      <c r="A285" s="5" t="s">
        <v>41</v>
      </c>
      <c r="B285" s="6" t="s">
        <v>163</v>
      </c>
      <c r="C285" s="6">
        <v>17</v>
      </c>
      <c r="D285" s="6">
        <v>79</v>
      </c>
      <c r="E285" s="6">
        <v>84</v>
      </c>
      <c r="F285" s="6">
        <v>76</v>
      </c>
      <c r="G285" s="6">
        <v>78</v>
      </c>
      <c r="H285" s="6">
        <v>70</v>
      </c>
      <c r="I285" s="13" t="s">
        <v>113</v>
      </c>
    </row>
    <row r="286" spans="1:17" x14ac:dyDescent="0.2">
      <c r="A286" s="5" t="s">
        <v>42</v>
      </c>
      <c r="B286" s="6" t="s">
        <v>162</v>
      </c>
      <c r="C286" s="6">
        <v>33</v>
      </c>
      <c r="D286" s="6">
        <v>67</v>
      </c>
      <c r="E286" s="6">
        <v>57</v>
      </c>
      <c r="F286" s="6">
        <v>58</v>
      </c>
      <c r="G286" s="6">
        <v>53</v>
      </c>
      <c r="H286" s="6">
        <v>52</v>
      </c>
      <c r="I286" s="13" t="s">
        <v>113</v>
      </c>
      <c r="J286" s="6" t="s">
        <v>98</v>
      </c>
    </row>
    <row r="287" spans="1:17" s="4" customFormat="1" x14ac:dyDescent="0.2">
      <c r="A287" s="11" t="s">
        <v>43</v>
      </c>
      <c r="B287" s="10" t="s">
        <v>163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3" t="s">
        <v>113</v>
      </c>
      <c r="J287" s="10" t="s">
        <v>99</v>
      </c>
      <c r="K287" s="10"/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</row>
    <row r="288" spans="1:17" x14ac:dyDescent="0.2">
      <c r="A288" s="5" t="s">
        <v>44</v>
      </c>
      <c r="B288" s="6" t="s">
        <v>162</v>
      </c>
      <c r="C288" s="6">
        <v>57</v>
      </c>
      <c r="D288" s="6">
        <v>60</v>
      </c>
      <c r="E288" s="6">
        <v>54</v>
      </c>
      <c r="F288" s="6">
        <v>53</v>
      </c>
      <c r="G288" s="6">
        <v>56</v>
      </c>
      <c r="H288" s="6">
        <v>55</v>
      </c>
      <c r="I288" s="13" t="s">
        <v>113</v>
      </c>
    </row>
    <row r="289" spans="1:17" x14ac:dyDescent="0.2">
      <c r="A289" s="5" t="s">
        <v>45</v>
      </c>
      <c r="B289" s="6" t="s">
        <v>163</v>
      </c>
      <c r="C289" s="6">
        <v>5</v>
      </c>
      <c r="D289" s="6">
        <v>77</v>
      </c>
      <c r="E289" s="6">
        <v>63</v>
      </c>
      <c r="F289" s="6">
        <v>68</v>
      </c>
      <c r="G289" s="6">
        <v>67</v>
      </c>
      <c r="H289" s="6">
        <v>54</v>
      </c>
      <c r="I289" s="13" t="s">
        <v>113</v>
      </c>
    </row>
    <row r="290" spans="1:17" x14ac:dyDescent="0.2">
      <c r="A290" s="5" t="s">
        <v>46</v>
      </c>
      <c r="B290" s="6" t="s">
        <v>162</v>
      </c>
      <c r="C290" s="6">
        <v>47</v>
      </c>
      <c r="D290" s="6">
        <v>62</v>
      </c>
      <c r="E290" s="6">
        <v>59</v>
      </c>
      <c r="F290" s="6">
        <v>62</v>
      </c>
      <c r="G290" s="6">
        <v>62</v>
      </c>
      <c r="H290" s="6">
        <v>53</v>
      </c>
      <c r="I290" s="13" t="s">
        <v>113</v>
      </c>
    </row>
    <row r="291" spans="1:17" x14ac:dyDescent="0.2">
      <c r="A291" s="5" t="s">
        <v>47</v>
      </c>
      <c r="B291" s="6" t="s">
        <v>163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13" t="s">
        <v>113</v>
      </c>
      <c r="J291" s="6" t="s">
        <v>97</v>
      </c>
      <c r="L291" s="6">
        <v>0</v>
      </c>
      <c r="M291" s="6" t="s">
        <v>96</v>
      </c>
      <c r="N291" s="6" t="s">
        <v>96</v>
      </c>
      <c r="O291" s="6" t="s">
        <v>96</v>
      </c>
      <c r="P291" s="6" t="s">
        <v>96</v>
      </c>
      <c r="Q291" s="6" t="s">
        <v>96</v>
      </c>
    </row>
    <row r="292" spans="1:17" x14ac:dyDescent="0.2">
      <c r="A292" s="5" t="s">
        <v>48</v>
      </c>
      <c r="B292" s="6" t="s">
        <v>162</v>
      </c>
      <c r="C292" s="6">
        <v>48</v>
      </c>
      <c r="D292" s="6">
        <v>50</v>
      </c>
      <c r="E292" s="6">
        <v>53</v>
      </c>
      <c r="F292" s="6">
        <v>51</v>
      </c>
      <c r="G292" s="6">
        <v>48</v>
      </c>
      <c r="H292" s="6">
        <v>54</v>
      </c>
      <c r="I292" s="13" t="s">
        <v>113</v>
      </c>
    </row>
    <row r="293" spans="1:17" x14ac:dyDescent="0.2">
      <c r="A293" s="5" t="s">
        <v>49</v>
      </c>
      <c r="B293" s="6" t="s">
        <v>163</v>
      </c>
      <c r="C293" s="6">
        <v>8</v>
      </c>
      <c r="D293" s="6">
        <v>60</v>
      </c>
      <c r="E293" s="6">
        <v>55</v>
      </c>
      <c r="F293" s="6">
        <v>57</v>
      </c>
      <c r="G293" s="6">
        <v>48</v>
      </c>
      <c r="H293" s="6">
        <v>38</v>
      </c>
      <c r="I293" s="13" t="s">
        <v>113</v>
      </c>
    </row>
    <row r="294" spans="1:17" x14ac:dyDescent="0.2">
      <c r="A294" s="5" t="s">
        <v>50</v>
      </c>
      <c r="B294" s="6" t="s">
        <v>162</v>
      </c>
      <c r="C294" s="6">
        <v>46</v>
      </c>
      <c r="D294" s="6">
        <v>69</v>
      </c>
      <c r="E294" s="6">
        <v>61</v>
      </c>
      <c r="F294" s="6">
        <v>55</v>
      </c>
      <c r="G294" s="6">
        <v>54</v>
      </c>
      <c r="H294" s="6">
        <v>63</v>
      </c>
      <c r="I294" s="13" t="s">
        <v>113</v>
      </c>
    </row>
    <row r="295" spans="1:17" x14ac:dyDescent="0.2">
      <c r="A295" s="5" t="s">
        <v>51</v>
      </c>
      <c r="B295" s="6" t="s">
        <v>163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13" t="s">
        <v>113</v>
      </c>
      <c r="J295" s="6" t="s">
        <v>97</v>
      </c>
      <c r="L295" s="6">
        <v>0</v>
      </c>
      <c r="M295" s="6" t="s">
        <v>96</v>
      </c>
      <c r="N295" s="6" t="s">
        <v>96</v>
      </c>
      <c r="O295" s="6" t="s">
        <v>96</v>
      </c>
      <c r="P295" s="6" t="s">
        <v>96</v>
      </c>
      <c r="Q295" s="6" t="s">
        <v>96</v>
      </c>
    </row>
    <row r="296" spans="1:17" x14ac:dyDescent="0.2">
      <c r="A296" s="5" t="s">
        <v>52</v>
      </c>
      <c r="B296" s="6" t="s">
        <v>162</v>
      </c>
      <c r="C296" s="6">
        <v>37</v>
      </c>
      <c r="D296" s="6">
        <v>60</v>
      </c>
      <c r="E296" s="6">
        <v>52</v>
      </c>
      <c r="F296" s="6">
        <v>53</v>
      </c>
      <c r="G296" s="6">
        <v>52</v>
      </c>
      <c r="H296" s="6">
        <v>46</v>
      </c>
      <c r="I296" s="13" t="s">
        <v>113</v>
      </c>
    </row>
    <row r="297" spans="1:17" x14ac:dyDescent="0.2">
      <c r="A297" s="5" t="s">
        <v>53</v>
      </c>
      <c r="B297" s="6" t="s">
        <v>163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13" t="s">
        <v>113</v>
      </c>
      <c r="J297" s="6" t="s">
        <v>100</v>
      </c>
      <c r="L297" s="6">
        <v>0</v>
      </c>
      <c r="M297" s="6" t="s">
        <v>96</v>
      </c>
      <c r="N297" s="6" t="s">
        <v>96</v>
      </c>
      <c r="O297" s="6" t="s">
        <v>96</v>
      </c>
      <c r="P297" s="6" t="s">
        <v>96</v>
      </c>
      <c r="Q297" s="6" t="s">
        <v>96</v>
      </c>
    </row>
    <row r="298" spans="1:17" x14ac:dyDescent="0.2">
      <c r="A298" s="5" t="s">
        <v>54</v>
      </c>
      <c r="B298" s="6" t="s">
        <v>162</v>
      </c>
      <c r="C298" s="6">
        <v>72</v>
      </c>
      <c r="D298" s="6">
        <v>48</v>
      </c>
      <c r="E298" s="6">
        <v>44</v>
      </c>
      <c r="F298" s="6">
        <v>46</v>
      </c>
      <c r="G298" s="6">
        <v>42</v>
      </c>
      <c r="H298" s="6">
        <v>45</v>
      </c>
      <c r="I298" s="13" t="s">
        <v>113</v>
      </c>
    </row>
    <row r="299" spans="1:17" x14ac:dyDescent="0.2">
      <c r="A299" s="5" t="s">
        <v>55</v>
      </c>
      <c r="B299" s="6" t="s">
        <v>163</v>
      </c>
      <c r="C299" s="6">
        <v>64</v>
      </c>
      <c r="D299" s="6">
        <v>72</v>
      </c>
      <c r="E299" s="6">
        <v>66</v>
      </c>
      <c r="F299" s="6">
        <v>78</v>
      </c>
      <c r="G299" s="6">
        <v>82</v>
      </c>
      <c r="H299" s="6">
        <v>77</v>
      </c>
      <c r="I299" s="13" t="s">
        <v>113</v>
      </c>
    </row>
    <row r="300" spans="1:17" x14ac:dyDescent="0.2">
      <c r="A300" s="5" t="s">
        <v>56</v>
      </c>
      <c r="B300" s="6" t="s">
        <v>162</v>
      </c>
      <c r="C300" s="6">
        <v>44</v>
      </c>
      <c r="D300" s="6">
        <v>53</v>
      </c>
      <c r="E300" s="6">
        <v>55</v>
      </c>
      <c r="F300" s="6">
        <v>61</v>
      </c>
      <c r="G300" s="6">
        <v>49</v>
      </c>
      <c r="H300" s="6">
        <v>51</v>
      </c>
      <c r="I300" s="13" t="s">
        <v>113</v>
      </c>
    </row>
    <row r="301" spans="1:17" x14ac:dyDescent="0.2">
      <c r="A301" s="5" t="s">
        <v>57</v>
      </c>
      <c r="B301" s="6" t="s">
        <v>163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13" t="s">
        <v>113</v>
      </c>
      <c r="J301" s="6" t="s">
        <v>97</v>
      </c>
    </row>
    <row r="302" spans="1:17" x14ac:dyDescent="0.2">
      <c r="A302" s="7" t="s">
        <v>3</v>
      </c>
      <c r="B302" s="6" t="s">
        <v>76</v>
      </c>
      <c r="C302" s="6">
        <v>32</v>
      </c>
      <c r="D302" s="6">
        <v>54</v>
      </c>
      <c r="E302" s="6">
        <v>54</v>
      </c>
      <c r="F302" s="6">
        <v>52</v>
      </c>
      <c r="G302" s="6">
        <v>52</v>
      </c>
      <c r="H302" s="6">
        <v>52</v>
      </c>
      <c r="I302" s="13" t="s">
        <v>113</v>
      </c>
    </row>
    <row r="303" spans="1:17" x14ac:dyDescent="0.2">
      <c r="A303" s="7" t="s">
        <v>4</v>
      </c>
      <c r="B303" s="6" t="s">
        <v>76</v>
      </c>
      <c r="C303" s="6">
        <v>40</v>
      </c>
      <c r="D303" s="6">
        <v>59</v>
      </c>
      <c r="E303" s="6">
        <v>54</v>
      </c>
      <c r="F303" s="6">
        <v>55</v>
      </c>
      <c r="G303" s="6">
        <v>60</v>
      </c>
      <c r="H303" s="6">
        <v>55</v>
      </c>
      <c r="I303" s="13" t="s">
        <v>113</v>
      </c>
      <c r="K303" s="6">
        <v>4</v>
      </c>
    </row>
    <row r="304" spans="1:17" x14ac:dyDescent="0.2">
      <c r="A304" s="7" t="s">
        <v>5</v>
      </c>
      <c r="B304" s="6" t="s">
        <v>76</v>
      </c>
      <c r="C304" s="6">
        <v>50</v>
      </c>
      <c r="D304" s="6">
        <v>69</v>
      </c>
      <c r="E304" s="6">
        <v>64</v>
      </c>
      <c r="F304" s="27">
        <v>63</v>
      </c>
      <c r="G304" s="27">
        <v>63</v>
      </c>
      <c r="H304" s="6">
        <v>74</v>
      </c>
      <c r="I304" s="13" t="s">
        <v>113</v>
      </c>
    </row>
    <row r="305" spans="1:17" x14ac:dyDescent="0.2">
      <c r="A305" s="7" t="s">
        <v>6</v>
      </c>
      <c r="B305" s="6" t="s">
        <v>76</v>
      </c>
      <c r="C305" s="6">
        <v>40</v>
      </c>
      <c r="D305" s="6">
        <v>62</v>
      </c>
      <c r="E305" s="6">
        <v>54</v>
      </c>
      <c r="F305" s="6">
        <v>51</v>
      </c>
      <c r="G305" s="6">
        <v>50</v>
      </c>
      <c r="H305" s="6">
        <v>55</v>
      </c>
      <c r="I305" s="13" t="s">
        <v>113</v>
      </c>
    </row>
    <row r="306" spans="1:17" s="4" customFormat="1" x14ac:dyDescent="0.2">
      <c r="A306" s="14" t="s">
        <v>7</v>
      </c>
      <c r="B306" s="10" t="s">
        <v>76</v>
      </c>
      <c r="C306" s="10"/>
      <c r="D306" s="10"/>
      <c r="E306" s="10"/>
      <c r="F306" s="10"/>
      <c r="G306" s="10"/>
      <c r="H306" s="10"/>
      <c r="I306" s="26" t="s">
        <v>113</v>
      </c>
      <c r="J306" s="10" t="s">
        <v>116</v>
      </c>
      <c r="K306" s="10"/>
      <c r="L306" s="10">
        <v>38</v>
      </c>
      <c r="M306" s="10">
        <v>54</v>
      </c>
      <c r="N306" s="10">
        <v>68</v>
      </c>
      <c r="O306" s="10">
        <v>53</v>
      </c>
      <c r="P306" s="10">
        <v>48</v>
      </c>
      <c r="Q306" s="10">
        <v>55</v>
      </c>
    </row>
    <row r="307" spans="1:17" s="4" customFormat="1" x14ac:dyDescent="0.2">
      <c r="A307" s="14" t="s">
        <v>8</v>
      </c>
      <c r="B307" s="10" t="s">
        <v>76</v>
      </c>
      <c r="C307" s="10"/>
      <c r="D307" s="10"/>
      <c r="E307" s="10"/>
      <c r="F307" s="10"/>
      <c r="G307" s="10"/>
      <c r="H307" s="10"/>
      <c r="I307" s="26" t="s">
        <v>113</v>
      </c>
      <c r="J307" s="10" t="s">
        <v>116</v>
      </c>
      <c r="K307" s="10">
        <v>1</v>
      </c>
      <c r="L307" s="10">
        <v>32</v>
      </c>
      <c r="M307" s="10">
        <v>61</v>
      </c>
      <c r="N307" s="10">
        <v>57</v>
      </c>
      <c r="O307" s="10">
        <v>60</v>
      </c>
      <c r="P307" s="10">
        <v>69</v>
      </c>
      <c r="Q307" s="10">
        <v>58</v>
      </c>
    </row>
    <row r="308" spans="1:17" x14ac:dyDescent="0.2">
      <c r="A308" s="7" t="s">
        <v>9</v>
      </c>
      <c r="B308" s="6" t="s">
        <v>76</v>
      </c>
      <c r="C308" s="6">
        <v>34</v>
      </c>
      <c r="D308" s="6">
        <v>65</v>
      </c>
      <c r="E308" s="6">
        <v>61</v>
      </c>
      <c r="F308" s="6">
        <v>65</v>
      </c>
      <c r="G308" s="6">
        <v>63</v>
      </c>
      <c r="H308" s="6">
        <v>57</v>
      </c>
      <c r="I308" s="13" t="s">
        <v>113</v>
      </c>
    </row>
    <row r="309" spans="1:17" x14ac:dyDescent="0.2">
      <c r="A309" s="7" t="s">
        <v>10</v>
      </c>
      <c r="B309" s="6" t="s">
        <v>76</v>
      </c>
      <c r="C309" s="6">
        <v>58</v>
      </c>
      <c r="D309" s="6">
        <v>76</v>
      </c>
      <c r="E309" s="6">
        <v>70</v>
      </c>
      <c r="F309" s="6">
        <v>72</v>
      </c>
      <c r="G309" s="6">
        <v>70</v>
      </c>
      <c r="H309" s="6">
        <v>68</v>
      </c>
      <c r="I309" s="13" t="s">
        <v>113</v>
      </c>
      <c r="J309" s="6" t="s">
        <v>122</v>
      </c>
    </row>
    <row r="310" spans="1:17" x14ac:dyDescent="0.2">
      <c r="A310" s="7" t="s">
        <v>11</v>
      </c>
      <c r="B310" s="6" t="s">
        <v>76</v>
      </c>
      <c r="C310" s="6">
        <v>53</v>
      </c>
      <c r="D310" s="6">
        <v>81</v>
      </c>
      <c r="E310" s="6">
        <v>69</v>
      </c>
      <c r="F310" s="6">
        <v>65</v>
      </c>
      <c r="G310" s="6">
        <v>67</v>
      </c>
      <c r="H310" s="6">
        <v>70</v>
      </c>
      <c r="I310" s="13" t="s">
        <v>113</v>
      </c>
      <c r="K310" s="6">
        <v>1</v>
      </c>
    </row>
    <row r="311" spans="1:17" x14ac:dyDescent="0.2">
      <c r="A311" s="7" t="s">
        <v>12</v>
      </c>
      <c r="B311" s="6" t="s">
        <v>76</v>
      </c>
      <c r="C311" s="6">
        <v>18</v>
      </c>
      <c r="D311" s="6">
        <v>61</v>
      </c>
      <c r="E311" s="6">
        <v>64</v>
      </c>
      <c r="F311" s="6">
        <v>45</v>
      </c>
      <c r="G311" s="6">
        <v>47</v>
      </c>
      <c r="H311" s="6">
        <v>46</v>
      </c>
      <c r="I311" s="13" t="s">
        <v>113</v>
      </c>
      <c r="K311" s="6">
        <v>3</v>
      </c>
    </row>
    <row r="312" spans="1:17" x14ac:dyDescent="0.2">
      <c r="A312" s="8" t="s">
        <v>18</v>
      </c>
      <c r="B312" s="6" t="s">
        <v>167</v>
      </c>
      <c r="C312" s="6">
        <v>41</v>
      </c>
      <c r="D312" s="6">
        <v>61</v>
      </c>
      <c r="E312" s="6">
        <v>72</v>
      </c>
      <c r="F312" s="6">
        <v>58</v>
      </c>
      <c r="G312" s="6">
        <v>65</v>
      </c>
      <c r="H312" s="6">
        <v>59</v>
      </c>
      <c r="I312" s="13" t="s">
        <v>113</v>
      </c>
      <c r="K312" s="6">
        <v>17</v>
      </c>
    </row>
    <row r="313" spans="1:17" x14ac:dyDescent="0.2">
      <c r="A313" s="8" t="s">
        <v>19</v>
      </c>
      <c r="B313" s="6" t="s">
        <v>166</v>
      </c>
      <c r="F313" s="28"/>
      <c r="G313" s="28"/>
      <c r="H313" s="28"/>
      <c r="I313" s="13" t="s">
        <v>113</v>
      </c>
      <c r="J313" s="10" t="s">
        <v>118</v>
      </c>
      <c r="K313" s="6">
        <v>6</v>
      </c>
      <c r="L313" s="6">
        <v>9</v>
      </c>
      <c r="M313" s="6">
        <v>79</v>
      </c>
      <c r="N313" s="6">
        <v>73</v>
      </c>
      <c r="O313" s="28">
        <v>62</v>
      </c>
      <c r="P313" s="9">
        <v>43</v>
      </c>
      <c r="Q313" s="9">
        <v>43</v>
      </c>
    </row>
    <row r="314" spans="1:17" x14ac:dyDescent="0.2">
      <c r="A314" s="8" t="s">
        <v>20</v>
      </c>
      <c r="B314" s="6" t="s">
        <v>167</v>
      </c>
      <c r="C314" s="6">
        <v>51</v>
      </c>
      <c r="D314" s="6">
        <v>53</v>
      </c>
      <c r="E314" s="6">
        <v>68</v>
      </c>
      <c r="F314" s="6">
        <v>55</v>
      </c>
      <c r="G314" s="6">
        <v>57</v>
      </c>
      <c r="H314" s="6">
        <v>52</v>
      </c>
      <c r="I314" s="13" t="s">
        <v>113</v>
      </c>
      <c r="K314" s="6">
        <v>36</v>
      </c>
    </row>
    <row r="315" spans="1:17" x14ac:dyDescent="0.2">
      <c r="A315" s="8" t="s">
        <v>21</v>
      </c>
      <c r="B315" s="6" t="s">
        <v>166</v>
      </c>
      <c r="H315" s="28"/>
      <c r="I315" s="13" t="s">
        <v>113</v>
      </c>
      <c r="J315" s="6" t="s">
        <v>117</v>
      </c>
      <c r="K315" s="29">
        <v>6</v>
      </c>
      <c r="L315" s="6">
        <v>11</v>
      </c>
      <c r="M315" s="6">
        <v>67</v>
      </c>
      <c r="N315" s="6">
        <v>61</v>
      </c>
      <c r="O315" s="6">
        <v>65</v>
      </c>
      <c r="P315" s="6">
        <v>35</v>
      </c>
      <c r="Q315" s="9">
        <v>20</v>
      </c>
    </row>
    <row r="316" spans="1:17" x14ac:dyDescent="0.2">
      <c r="A316" s="8" t="s">
        <v>22</v>
      </c>
      <c r="B316" s="6" t="s">
        <v>167</v>
      </c>
      <c r="C316" s="6">
        <v>53</v>
      </c>
      <c r="D316" s="6">
        <v>57</v>
      </c>
      <c r="E316" s="6">
        <v>49</v>
      </c>
      <c r="F316" s="6">
        <v>33</v>
      </c>
      <c r="G316" s="28">
        <v>27</v>
      </c>
      <c r="H316" s="28">
        <v>27</v>
      </c>
      <c r="I316" s="13" t="s">
        <v>113</v>
      </c>
      <c r="K316" s="6">
        <v>50</v>
      </c>
    </row>
    <row r="317" spans="1:17" x14ac:dyDescent="0.2">
      <c r="A317" s="8" t="s">
        <v>23</v>
      </c>
      <c r="B317" s="6" t="s">
        <v>166</v>
      </c>
      <c r="C317" s="6">
        <v>22</v>
      </c>
      <c r="D317" s="6">
        <v>68</v>
      </c>
      <c r="E317" s="6">
        <v>68</v>
      </c>
      <c r="F317" s="6">
        <v>59</v>
      </c>
      <c r="G317" s="6">
        <v>55</v>
      </c>
      <c r="H317" s="6">
        <v>55</v>
      </c>
      <c r="I317" s="13" t="s">
        <v>113</v>
      </c>
      <c r="K317" s="6">
        <v>10</v>
      </c>
    </row>
    <row r="318" spans="1:17" x14ac:dyDescent="0.2">
      <c r="A318" s="8" t="s">
        <v>24</v>
      </c>
      <c r="B318" s="6" t="s">
        <v>167</v>
      </c>
      <c r="C318" s="6">
        <v>33</v>
      </c>
      <c r="D318" s="6">
        <v>41</v>
      </c>
      <c r="E318" s="6">
        <v>50</v>
      </c>
      <c r="F318" s="6">
        <v>34</v>
      </c>
      <c r="G318" s="28">
        <v>30</v>
      </c>
      <c r="H318" s="28">
        <v>29</v>
      </c>
      <c r="I318" s="13" t="s">
        <v>113</v>
      </c>
      <c r="K318" s="6">
        <v>29</v>
      </c>
    </row>
    <row r="319" spans="1:17" x14ac:dyDescent="0.2">
      <c r="A319" s="8" t="s">
        <v>25</v>
      </c>
      <c r="B319" s="6" t="s">
        <v>166</v>
      </c>
      <c r="C319" s="6">
        <v>16</v>
      </c>
      <c r="D319" s="28">
        <v>13</v>
      </c>
      <c r="E319" s="28">
        <v>15</v>
      </c>
      <c r="F319" s="28">
        <v>14</v>
      </c>
      <c r="G319" s="28">
        <v>20</v>
      </c>
      <c r="H319" s="28">
        <v>15</v>
      </c>
      <c r="I319" s="13" t="s">
        <v>113</v>
      </c>
    </row>
    <row r="320" spans="1:17" x14ac:dyDescent="0.2">
      <c r="A320" s="8" t="s">
        <v>26</v>
      </c>
      <c r="B320" s="6" t="s">
        <v>167</v>
      </c>
      <c r="C320" s="6">
        <v>25</v>
      </c>
      <c r="D320" s="6">
        <v>59</v>
      </c>
      <c r="E320" s="6">
        <v>65</v>
      </c>
      <c r="F320" s="6">
        <v>35</v>
      </c>
      <c r="G320" s="6">
        <v>48</v>
      </c>
      <c r="H320" s="28">
        <v>24</v>
      </c>
      <c r="I320" s="13" t="s">
        <v>113</v>
      </c>
      <c r="K320" s="6">
        <v>18</v>
      </c>
    </row>
    <row r="321" spans="1:11" x14ac:dyDescent="0.2">
      <c r="A321" s="8" t="s">
        <v>27</v>
      </c>
      <c r="B321" s="6" t="s">
        <v>166</v>
      </c>
      <c r="C321" s="6">
        <v>21</v>
      </c>
      <c r="D321" s="6">
        <v>70</v>
      </c>
      <c r="E321" s="6">
        <v>90</v>
      </c>
      <c r="F321" s="6">
        <v>57</v>
      </c>
      <c r="G321" s="6">
        <v>60</v>
      </c>
      <c r="H321" s="28">
        <v>28</v>
      </c>
      <c r="I321" s="13" t="s">
        <v>113</v>
      </c>
      <c r="K321" s="6">
        <v>4</v>
      </c>
    </row>
    <row r="322" spans="1:11" x14ac:dyDescent="0.2">
      <c r="A322" s="8" t="s">
        <v>28</v>
      </c>
      <c r="B322" s="6" t="s">
        <v>167</v>
      </c>
      <c r="C322" s="6">
        <v>46</v>
      </c>
      <c r="D322" s="6">
        <v>56</v>
      </c>
      <c r="E322" s="6">
        <v>55</v>
      </c>
      <c r="F322" s="6">
        <v>47</v>
      </c>
      <c r="G322" s="6">
        <v>44</v>
      </c>
      <c r="H322" s="6">
        <v>56</v>
      </c>
      <c r="I322" s="13" t="s">
        <v>113</v>
      </c>
      <c r="K322" s="6">
        <v>27</v>
      </c>
    </row>
    <row r="323" spans="1:11" x14ac:dyDescent="0.2">
      <c r="A323" s="8" t="s">
        <v>29</v>
      </c>
      <c r="B323" s="6" t="s">
        <v>166</v>
      </c>
      <c r="C323" s="6">
        <v>15</v>
      </c>
      <c r="D323" s="6">
        <v>61</v>
      </c>
      <c r="E323" s="28">
        <v>41</v>
      </c>
      <c r="F323" s="28">
        <v>29</v>
      </c>
      <c r="G323" s="28">
        <v>25</v>
      </c>
      <c r="H323" s="6">
        <v>19</v>
      </c>
      <c r="I323" s="13" t="s">
        <v>113</v>
      </c>
      <c r="K323" s="6">
        <v>14</v>
      </c>
    </row>
    <row r="324" spans="1:11" x14ac:dyDescent="0.2">
      <c r="A324" s="8" t="s">
        <v>30</v>
      </c>
      <c r="B324" s="6" t="s">
        <v>167</v>
      </c>
      <c r="C324" s="6">
        <v>36</v>
      </c>
      <c r="D324" s="6">
        <v>83</v>
      </c>
      <c r="E324" s="6">
        <v>63</v>
      </c>
      <c r="F324" s="6">
        <v>64</v>
      </c>
      <c r="G324" s="6">
        <v>58</v>
      </c>
      <c r="H324" s="6">
        <v>64</v>
      </c>
      <c r="I324" s="13" t="s">
        <v>113</v>
      </c>
      <c r="K324" s="6">
        <v>3</v>
      </c>
    </row>
    <row r="325" spans="1:11" x14ac:dyDescent="0.2">
      <c r="A325" s="8" t="s">
        <v>31</v>
      </c>
      <c r="B325" s="6" t="s">
        <v>166</v>
      </c>
      <c r="C325" s="6">
        <v>23</v>
      </c>
      <c r="D325" s="6">
        <v>71</v>
      </c>
      <c r="E325" s="6">
        <v>59</v>
      </c>
      <c r="F325" s="6">
        <v>54</v>
      </c>
      <c r="G325" s="6">
        <v>59</v>
      </c>
      <c r="H325" s="6">
        <v>49</v>
      </c>
      <c r="I325" s="13" t="s">
        <v>113</v>
      </c>
      <c r="K325" s="6">
        <v>3</v>
      </c>
    </row>
    <row r="326" spans="1:11" x14ac:dyDescent="0.2">
      <c r="A326" s="8" t="s">
        <v>32</v>
      </c>
      <c r="B326" s="6" t="s">
        <v>167</v>
      </c>
      <c r="C326" s="6">
        <v>53</v>
      </c>
      <c r="D326" s="6">
        <v>69</v>
      </c>
      <c r="E326" s="6">
        <v>58</v>
      </c>
      <c r="F326" s="6">
        <v>47</v>
      </c>
      <c r="G326" s="6">
        <v>44</v>
      </c>
      <c r="H326" s="6">
        <v>40</v>
      </c>
      <c r="I326" s="13" t="s">
        <v>113</v>
      </c>
      <c r="K326" s="6">
        <v>32</v>
      </c>
    </row>
    <row r="327" spans="1:11" x14ac:dyDescent="0.2">
      <c r="A327" s="8" t="s">
        <v>33</v>
      </c>
      <c r="B327" s="6" t="s">
        <v>166</v>
      </c>
      <c r="C327" s="6">
        <v>14</v>
      </c>
      <c r="D327" s="6">
        <v>60</v>
      </c>
      <c r="E327" s="6">
        <v>83</v>
      </c>
      <c r="F327" s="6">
        <v>64</v>
      </c>
      <c r="G327" s="6">
        <v>58</v>
      </c>
      <c r="H327" s="28">
        <v>34</v>
      </c>
      <c r="I327" s="13" t="s">
        <v>113</v>
      </c>
      <c r="K327" s="6">
        <v>10</v>
      </c>
    </row>
    <row r="328" spans="1:11" x14ac:dyDescent="0.2">
      <c r="A328" s="8" t="s">
        <v>34</v>
      </c>
      <c r="B328" s="6" t="s">
        <v>167</v>
      </c>
      <c r="C328" s="6">
        <v>53</v>
      </c>
      <c r="D328" s="6">
        <v>48</v>
      </c>
      <c r="E328" s="6">
        <v>30</v>
      </c>
      <c r="F328" s="6">
        <v>35</v>
      </c>
      <c r="G328" s="6">
        <v>35</v>
      </c>
      <c r="H328" s="28">
        <v>34</v>
      </c>
      <c r="I328" s="13" t="s">
        <v>113</v>
      </c>
      <c r="K328" s="6">
        <v>48</v>
      </c>
    </row>
    <row r="329" spans="1:11" x14ac:dyDescent="0.2">
      <c r="A329" s="8" t="s">
        <v>35</v>
      </c>
      <c r="B329" s="6" t="s">
        <v>166</v>
      </c>
      <c r="C329" s="6">
        <v>21</v>
      </c>
      <c r="D329" s="6">
        <v>62</v>
      </c>
      <c r="E329" s="6">
        <v>52</v>
      </c>
      <c r="F329" s="6">
        <v>52</v>
      </c>
      <c r="G329" s="6">
        <v>50</v>
      </c>
      <c r="H329" s="6">
        <v>50</v>
      </c>
      <c r="I329" s="13" t="s">
        <v>113</v>
      </c>
      <c r="K329" s="6">
        <v>7</v>
      </c>
    </row>
    <row r="330" spans="1:11" x14ac:dyDescent="0.2">
      <c r="A330" s="8" t="s">
        <v>36</v>
      </c>
      <c r="B330" s="6" t="s">
        <v>167</v>
      </c>
      <c r="C330" s="6">
        <v>42</v>
      </c>
      <c r="D330" s="6">
        <v>42</v>
      </c>
      <c r="E330" s="6">
        <v>35</v>
      </c>
      <c r="F330" s="6">
        <v>26</v>
      </c>
      <c r="G330" s="28">
        <v>25</v>
      </c>
      <c r="H330" s="28">
        <v>23</v>
      </c>
      <c r="I330" s="13" t="s">
        <v>113</v>
      </c>
      <c r="K330" s="6">
        <v>38</v>
      </c>
    </row>
    <row r="331" spans="1:11" x14ac:dyDescent="0.2">
      <c r="A331" s="8" t="s">
        <v>37</v>
      </c>
      <c r="B331" s="6" t="s">
        <v>166</v>
      </c>
      <c r="C331" s="6">
        <v>22</v>
      </c>
      <c r="D331" s="28">
        <v>25</v>
      </c>
      <c r="E331" s="28">
        <v>29</v>
      </c>
      <c r="F331" s="28">
        <v>22</v>
      </c>
      <c r="G331" s="28">
        <v>22</v>
      </c>
      <c r="H331" s="28">
        <v>20</v>
      </c>
      <c r="I331" s="13" t="s">
        <v>113</v>
      </c>
      <c r="K331" s="6">
        <v>22</v>
      </c>
    </row>
    <row r="332" spans="1:11" x14ac:dyDescent="0.2">
      <c r="A332" s="6" t="s">
        <v>14</v>
      </c>
      <c r="B332" s="6" t="s">
        <v>164</v>
      </c>
      <c r="C332" s="6">
        <v>21</v>
      </c>
      <c r="D332" s="6">
        <v>73</v>
      </c>
      <c r="E332" s="6">
        <v>65</v>
      </c>
      <c r="F332" s="6">
        <v>62</v>
      </c>
      <c r="G332" s="6">
        <v>64</v>
      </c>
      <c r="H332" s="6">
        <v>60</v>
      </c>
      <c r="I332" s="13" t="s">
        <v>113</v>
      </c>
    </row>
    <row r="333" spans="1:11" x14ac:dyDescent="0.2">
      <c r="A333" s="6" t="s">
        <v>15</v>
      </c>
      <c r="B333" s="6" t="s">
        <v>164</v>
      </c>
      <c r="C333" s="6">
        <v>25</v>
      </c>
      <c r="D333" s="6">
        <v>65</v>
      </c>
      <c r="E333" s="6">
        <v>62</v>
      </c>
      <c r="F333" s="6">
        <v>73</v>
      </c>
      <c r="G333" s="6">
        <v>70</v>
      </c>
      <c r="H333" s="6">
        <v>68</v>
      </c>
      <c r="I333" s="13" t="s">
        <v>113</v>
      </c>
    </row>
    <row r="334" spans="1:11" x14ac:dyDescent="0.2">
      <c r="A334" s="6" t="s">
        <v>16</v>
      </c>
      <c r="B334" s="6" t="s">
        <v>164</v>
      </c>
      <c r="C334" s="6">
        <v>37</v>
      </c>
      <c r="D334" s="6">
        <v>97</v>
      </c>
      <c r="E334" s="6">
        <v>87</v>
      </c>
      <c r="F334" s="6">
        <v>76</v>
      </c>
      <c r="G334" s="6">
        <v>82</v>
      </c>
      <c r="H334" s="6">
        <v>87</v>
      </c>
      <c r="I334" s="13" t="s">
        <v>113</v>
      </c>
      <c r="K334" s="6">
        <v>3</v>
      </c>
    </row>
    <row r="335" spans="1:11" x14ac:dyDescent="0.2">
      <c r="A335" s="6" t="s">
        <v>17</v>
      </c>
      <c r="B335" s="6" t="s">
        <v>164</v>
      </c>
      <c r="C335" s="6">
        <v>39</v>
      </c>
      <c r="D335" s="6">
        <v>98</v>
      </c>
      <c r="E335" s="6">
        <v>98</v>
      </c>
      <c r="F335" s="6">
        <v>96</v>
      </c>
      <c r="G335" s="6">
        <v>85</v>
      </c>
      <c r="H335" s="6">
        <v>79</v>
      </c>
      <c r="I335" s="13" t="s">
        <v>113</v>
      </c>
    </row>
    <row r="336" spans="1:11" x14ac:dyDescent="0.2">
      <c r="A336" s="6" t="s">
        <v>58</v>
      </c>
      <c r="B336" s="6" t="s">
        <v>164</v>
      </c>
      <c r="C336" s="6">
        <v>39</v>
      </c>
      <c r="D336" s="6">
        <v>83</v>
      </c>
      <c r="E336" s="6">
        <v>75</v>
      </c>
      <c r="F336" s="6">
        <v>72</v>
      </c>
      <c r="G336" s="6">
        <v>72</v>
      </c>
      <c r="H336" s="6">
        <v>72</v>
      </c>
      <c r="I336" s="13" t="s">
        <v>113</v>
      </c>
      <c r="K336" s="6">
        <v>2</v>
      </c>
    </row>
    <row r="337" spans="1:11" x14ac:dyDescent="0.2">
      <c r="A337" s="6" t="s">
        <v>59</v>
      </c>
      <c r="B337" s="6" t="s">
        <v>164</v>
      </c>
      <c r="C337" s="6">
        <v>23</v>
      </c>
      <c r="D337" s="6">
        <v>72</v>
      </c>
      <c r="E337" s="6">
        <v>70</v>
      </c>
      <c r="F337" s="6">
        <v>66</v>
      </c>
      <c r="G337" s="6">
        <v>72</v>
      </c>
      <c r="H337" s="6">
        <v>77</v>
      </c>
      <c r="I337" s="13" t="s">
        <v>113</v>
      </c>
    </row>
    <row r="338" spans="1:11" x14ac:dyDescent="0.2">
      <c r="A338" s="16" t="s">
        <v>38</v>
      </c>
      <c r="B338" s="15" t="s">
        <v>162</v>
      </c>
      <c r="C338" s="15">
        <v>31</v>
      </c>
      <c r="D338" s="15">
        <v>64</v>
      </c>
      <c r="E338" s="15">
        <v>75</v>
      </c>
      <c r="F338" s="15">
        <v>91</v>
      </c>
      <c r="G338" s="15">
        <v>60</v>
      </c>
      <c r="H338" s="15">
        <v>64</v>
      </c>
      <c r="I338" s="13" t="s">
        <v>126</v>
      </c>
      <c r="J338" s="15"/>
      <c r="K338" s="15">
        <v>0</v>
      </c>
    </row>
    <row r="339" spans="1:11" x14ac:dyDescent="0.2">
      <c r="A339" s="16" t="s">
        <v>39</v>
      </c>
      <c r="B339" s="15" t="s">
        <v>163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3" t="s">
        <v>126</v>
      </c>
      <c r="J339" s="15" t="s">
        <v>127</v>
      </c>
      <c r="K339" s="15" t="s">
        <v>96</v>
      </c>
    </row>
    <row r="340" spans="1:11" x14ac:dyDescent="0.2">
      <c r="A340" s="16" t="s">
        <v>40</v>
      </c>
      <c r="B340" s="15" t="s">
        <v>162</v>
      </c>
      <c r="C340" s="15">
        <v>20</v>
      </c>
      <c r="D340" s="15">
        <v>77</v>
      </c>
      <c r="E340" s="15">
        <v>53</v>
      </c>
      <c r="F340" s="15">
        <v>53.5</v>
      </c>
      <c r="G340" s="15">
        <v>53</v>
      </c>
      <c r="H340" s="15">
        <v>75</v>
      </c>
      <c r="I340" s="13" t="s">
        <v>125</v>
      </c>
      <c r="J340" s="15"/>
      <c r="K340" s="15">
        <v>0</v>
      </c>
    </row>
    <row r="341" spans="1:11" x14ac:dyDescent="0.2">
      <c r="A341" s="16" t="s">
        <v>41</v>
      </c>
      <c r="B341" s="15" t="s">
        <v>163</v>
      </c>
      <c r="C341" s="15">
        <v>12</v>
      </c>
      <c r="D341" s="15">
        <v>81</v>
      </c>
      <c r="E341" s="15">
        <v>88</v>
      </c>
      <c r="F341" s="15">
        <v>43</v>
      </c>
      <c r="G341" s="15">
        <v>29</v>
      </c>
      <c r="H341" s="15">
        <v>31</v>
      </c>
      <c r="I341" s="13" t="s">
        <v>125</v>
      </c>
      <c r="J341" s="15"/>
      <c r="K341" s="15">
        <v>0</v>
      </c>
    </row>
    <row r="342" spans="1:11" x14ac:dyDescent="0.2">
      <c r="A342" s="16" t="s">
        <v>42</v>
      </c>
      <c r="B342" s="15" t="s">
        <v>162</v>
      </c>
      <c r="C342" s="15">
        <v>22</v>
      </c>
      <c r="D342" s="15">
        <v>59</v>
      </c>
      <c r="E342" s="15">
        <v>44</v>
      </c>
      <c r="F342" s="15">
        <v>49</v>
      </c>
      <c r="G342" s="15">
        <v>59</v>
      </c>
      <c r="H342" s="15">
        <v>41</v>
      </c>
      <c r="I342" s="13" t="s">
        <v>125</v>
      </c>
      <c r="J342" s="15"/>
      <c r="K342" s="15">
        <v>0</v>
      </c>
    </row>
    <row r="343" spans="1:11" x14ac:dyDescent="0.2">
      <c r="A343" s="16" t="s">
        <v>43</v>
      </c>
      <c r="B343" s="15" t="s">
        <v>163</v>
      </c>
      <c r="C343" s="15">
        <v>0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3" t="s">
        <v>125</v>
      </c>
      <c r="J343" s="15" t="s">
        <v>97</v>
      </c>
      <c r="K343" s="15" t="s">
        <v>96</v>
      </c>
    </row>
    <row r="344" spans="1:11" x14ac:dyDescent="0.2">
      <c r="A344" s="16" t="s">
        <v>44</v>
      </c>
      <c r="B344" s="15" t="s">
        <v>162</v>
      </c>
      <c r="C344" s="15">
        <v>37</v>
      </c>
      <c r="D344" s="15">
        <v>69.5</v>
      </c>
      <c r="E344" s="15">
        <v>46</v>
      </c>
      <c r="F344" s="15">
        <v>57</v>
      </c>
      <c r="G344" s="15">
        <v>72</v>
      </c>
      <c r="H344" s="15">
        <v>45</v>
      </c>
      <c r="I344" s="13" t="s">
        <v>125</v>
      </c>
      <c r="J344" s="15"/>
      <c r="K344" s="15">
        <v>0</v>
      </c>
    </row>
    <row r="345" spans="1:11" x14ac:dyDescent="0.2">
      <c r="A345" s="16" t="s">
        <v>45</v>
      </c>
      <c r="B345" s="15" t="s">
        <v>163</v>
      </c>
      <c r="C345" s="15">
        <v>1</v>
      </c>
      <c r="D345" s="15">
        <v>23.5</v>
      </c>
      <c r="E345" s="15" t="s">
        <v>96</v>
      </c>
      <c r="F345" s="15" t="s">
        <v>96</v>
      </c>
      <c r="G345" s="15" t="s">
        <v>96</v>
      </c>
      <c r="H345" s="15" t="s">
        <v>96</v>
      </c>
      <c r="I345" s="13" t="s">
        <v>125</v>
      </c>
      <c r="J345" s="15"/>
      <c r="K345" s="15">
        <v>0</v>
      </c>
    </row>
    <row r="346" spans="1:11" x14ac:dyDescent="0.2">
      <c r="A346" s="16" t="s">
        <v>46</v>
      </c>
      <c r="B346" s="15" t="s">
        <v>162</v>
      </c>
      <c r="C346" s="15">
        <v>20</v>
      </c>
      <c r="D346" s="15">
        <v>78</v>
      </c>
      <c r="E346" s="15">
        <v>76</v>
      </c>
      <c r="F346" s="15">
        <v>72</v>
      </c>
      <c r="G346" s="15">
        <v>73</v>
      </c>
      <c r="H346" s="15">
        <v>69</v>
      </c>
      <c r="I346" s="13" t="s">
        <v>125</v>
      </c>
      <c r="J346" s="15"/>
      <c r="K346" s="15">
        <v>0</v>
      </c>
    </row>
    <row r="347" spans="1:11" x14ac:dyDescent="0.2">
      <c r="A347" s="16" t="s">
        <v>47</v>
      </c>
      <c r="B347" s="15" t="s">
        <v>163</v>
      </c>
      <c r="C347" s="15">
        <v>0</v>
      </c>
      <c r="D347" s="15">
        <v>0</v>
      </c>
      <c r="E347" s="15">
        <v>0</v>
      </c>
      <c r="F347" s="15">
        <v>0</v>
      </c>
      <c r="G347" s="15">
        <v>0</v>
      </c>
      <c r="H347" s="15">
        <v>0</v>
      </c>
      <c r="I347" s="13" t="s">
        <v>125</v>
      </c>
      <c r="J347" s="15" t="s">
        <v>97</v>
      </c>
      <c r="K347" s="15" t="s">
        <v>96</v>
      </c>
    </row>
    <row r="348" spans="1:11" x14ac:dyDescent="0.2">
      <c r="A348" s="16" t="s">
        <v>48</v>
      </c>
      <c r="B348" s="15" t="s">
        <v>162</v>
      </c>
      <c r="C348" s="15">
        <v>27</v>
      </c>
      <c r="D348" s="15">
        <v>73</v>
      </c>
      <c r="E348" s="15">
        <v>76</v>
      </c>
      <c r="F348" s="15">
        <v>67.5</v>
      </c>
      <c r="G348" s="15">
        <v>70</v>
      </c>
      <c r="H348" s="15">
        <v>54</v>
      </c>
      <c r="I348" s="13" t="s">
        <v>125</v>
      </c>
      <c r="J348" s="15"/>
      <c r="K348" s="15">
        <v>0</v>
      </c>
    </row>
    <row r="349" spans="1:11" x14ac:dyDescent="0.2">
      <c r="A349" s="16" t="s">
        <v>49</v>
      </c>
      <c r="B349" s="15" t="s">
        <v>163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3" t="s">
        <v>125</v>
      </c>
      <c r="J349" s="15" t="s">
        <v>97</v>
      </c>
      <c r="K349" s="15" t="s">
        <v>96</v>
      </c>
    </row>
    <row r="350" spans="1:11" x14ac:dyDescent="0.2">
      <c r="A350" s="16" t="s">
        <v>50</v>
      </c>
      <c r="B350" s="15" t="s">
        <v>162</v>
      </c>
      <c r="C350" s="15">
        <v>32</v>
      </c>
      <c r="D350" s="15">
        <v>58</v>
      </c>
      <c r="E350" s="15">
        <v>60</v>
      </c>
      <c r="F350" s="15">
        <v>59</v>
      </c>
      <c r="G350" s="15">
        <v>70</v>
      </c>
      <c r="H350" s="15">
        <v>60</v>
      </c>
      <c r="I350" s="13" t="s">
        <v>125</v>
      </c>
      <c r="J350" s="15"/>
      <c r="K350" s="15">
        <v>0</v>
      </c>
    </row>
    <row r="351" spans="1:11" x14ac:dyDescent="0.2">
      <c r="A351" s="16" t="s">
        <v>51</v>
      </c>
      <c r="B351" s="15" t="s">
        <v>163</v>
      </c>
      <c r="C351" s="15">
        <v>0</v>
      </c>
      <c r="D351" s="15">
        <v>0</v>
      </c>
      <c r="E351" s="15">
        <v>0</v>
      </c>
      <c r="F351" s="15">
        <v>0</v>
      </c>
      <c r="G351" s="15">
        <v>0</v>
      </c>
      <c r="H351" s="15">
        <v>0</v>
      </c>
      <c r="I351" s="13" t="s">
        <v>125</v>
      </c>
      <c r="J351" s="15" t="s">
        <v>97</v>
      </c>
      <c r="K351" s="15" t="s">
        <v>96</v>
      </c>
    </row>
    <row r="352" spans="1:11" x14ac:dyDescent="0.2">
      <c r="A352" s="16" t="s">
        <v>52</v>
      </c>
      <c r="B352" s="15" t="s">
        <v>162</v>
      </c>
      <c r="C352" s="15" t="s">
        <v>140</v>
      </c>
      <c r="D352" s="15" t="s">
        <v>96</v>
      </c>
      <c r="E352" s="15" t="s">
        <v>96</v>
      </c>
      <c r="F352" s="15" t="s">
        <v>96</v>
      </c>
      <c r="G352" s="15" t="s">
        <v>96</v>
      </c>
      <c r="H352" s="15" t="s">
        <v>96</v>
      </c>
      <c r="I352" s="13" t="s">
        <v>125</v>
      </c>
      <c r="J352" s="15" t="s">
        <v>128</v>
      </c>
      <c r="K352" s="15"/>
    </row>
    <row r="353" spans="1:11" x14ac:dyDescent="0.2">
      <c r="A353" s="16" t="s">
        <v>53</v>
      </c>
      <c r="B353" s="15" t="s">
        <v>163</v>
      </c>
      <c r="C353" s="15">
        <v>0</v>
      </c>
      <c r="D353" s="15">
        <v>0</v>
      </c>
      <c r="E353" s="15">
        <v>0</v>
      </c>
      <c r="F353" s="15">
        <v>0</v>
      </c>
      <c r="G353" s="15">
        <v>0</v>
      </c>
      <c r="H353" s="15">
        <v>0</v>
      </c>
      <c r="I353" s="13" t="s">
        <v>125</v>
      </c>
      <c r="J353" s="15" t="s">
        <v>139</v>
      </c>
      <c r="K353" s="20"/>
    </row>
    <row r="354" spans="1:11" x14ac:dyDescent="0.2">
      <c r="A354" s="16" t="s">
        <v>54</v>
      </c>
      <c r="B354" s="15" t="s">
        <v>162</v>
      </c>
      <c r="C354" s="15">
        <v>43</v>
      </c>
      <c r="D354" s="15">
        <v>58</v>
      </c>
      <c r="E354" s="15">
        <v>42</v>
      </c>
      <c r="F354" s="15">
        <v>54</v>
      </c>
      <c r="G354" s="15">
        <v>56</v>
      </c>
      <c r="H354" s="15">
        <v>60</v>
      </c>
      <c r="I354" s="13" t="s">
        <v>125</v>
      </c>
      <c r="J354" s="15"/>
      <c r="K354" s="15">
        <v>0</v>
      </c>
    </row>
    <row r="355" spans="1:11" x14ac:dyDescent="0.2">
      <c r="A355" s="16" t="s">
        <v>55</v>
      </c>
      <c r="B355" s="15" t="s">
        <v>163</v>
      </c>
      <c r="C355" s="15">
        <v>38</v>
      </c>
      <c r="D355" s="15">
        <v>84</v>
      </c>
      <c r="E355" s="15">
        <v>92</v>
      </c>
      <c r="F355" s="15">
        <v>74</v>
      </c>
      <c r="G355" s="15">
        <v>76</v>
      </c>
      <c r="H355" s="15">
        <v>68</v>
      </c>
      <c r="I355" s="13" t="s">
        <v>125</v>
      </c>
      <c r="J355" s="15"/>
      <c r="K355" s="15">
        <v>0</v>
      </c>
    </row>
    <row r="356" spans="1:11" x14ac:dyDescent="0.2">
      <c r="A356" s="16" t="s">
        <v>56</v>
      </c>
      <c r="B356" s="15" t="s">
        <v>162</v>
      </c>
      <c r="C356" s="15">
        <v>18</v>
      </c>
      <c r="D356" s="15">
        <v>73</v>
      </c>
      <c r="E356" s="15">
        <v>84</v>
      </c>
      <c r="F356" s="15">
        <v>86</v>
      </c>
      <c r="G356" s="15">
        <v>79</v>
      </c>
      <c r="H356" s="15">
        <v>59</v>
      </c>
      <c r="I356" s="13" t="s">
        <v>125</v>
      </c>
      <c r="J356" s="15"/>
      <c r="K356" s="15">
        <v>0</v>
      </c>
    </row>
    <row r="357" spans="1:11" x14ac:dyDescent="0.2">
      <c r="A357" s="16" t="s">
        <v>57</v>
      </c>
      <c r="B357" s="15" t="s">
        <v>163</v>
      </c>
      <c r="C357" s="15">
        <v>0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13" t="s">
        <v>125</v>
      </c>
      <c r="J357" s="15" t="s">
        <v>97</v>
      </c>
      <c r="K357" s="15" t="s">
        <v>96</v>
      </c>
    </row>
    <row r="358" spans="1:11" x14ac:dyDescent="0.2">
      <c r="A358" s="17" t="s">
        <v>3</v>
      </c>
      <c r="B358" s="15" t="s">
        <v>76</v>
      </c>
      <c r="C358" s="15">
        <v>22</v>
      </c>
      <c r="D358" s="15">
        <v>67</v>
      </c>
      <c r="E358" s="15">
        <v>74</v>
      </c>
      <c r="F358" s="15">
        <v>61</v>
      </c>
      <c r="G358" s="15">
        <v>51</v>
      </c>
      <c r="H358" s="15">
        <v>59</v>
      </c>
      <c r="I358" s="13" t="s">
        <v>125</v>
      </c>
      <c r="J358" s="15"/>
      <c r="K358" s="15">
        <v>0</v>
      </c>
    </row>
    <row r="359" spans="1:11" x14ac:dyDescent="0.2">
      <c r="A359" s="17" t="s">
        <v>4</v>
      </c>
      <c r="B359" s="15" t="s">
        <v>76</v>
      </c>
      <c r="C359" s="15">
        <v>32</v>
      </c>
      <c r="D359" s="15">
        <v>73</v>
      </c>
      <c r="E359" s="15">
        <v>67</v>
      </c>
      <c r="F359" s="15">
        <v>76</v>
      </c>
      <c r="G359" s="15">
        <v>80</v>
      </c>
      <c r="H359" s="15">
        <v>95</v>
      </c>
      <c r="I359" s="13" t="s">
        <v>125</v>
      </c>
      <c r="J359" s="15"/>
      <c r="K359" s="15">
        <v>0</v>
      </c>
    </row>
    <row r="360" spans="1:11" x14ac:dyDescent="0.2">
      <c r="A360" s="17" t="s">
        <v>5</v>
      </c>
      <c r="B360" s="15" t="s">
        <v>76</v>
      </c>
      <c r="C360" s="15">
        <v>35</v>
      </c>
      <c r="D360" s="15">
        <v>82</v>
      </c>
      <c r="E360" s="15">
        <v>83</v>
      </c>
      <c r="F360" s="15">
        <v>67</v>
      </c>
      <c r="G360" s="15">
        <v>77</v>
      </c>
      <c r="H360" s="15">
        <v>70</v>
      </c>
      <c r="I360" s="13" t="s">
        <v>125</v>
      </c>
      <c r="J360" s="15"/>
      <c r="K360" s="15">
        <v>0</v>
      </c>
    </row>
    <row r="361" spans="1:11" x14ac:dyDescent="0.2">
      <c r="A361" s="17" t="s">
        <v>6</v>
      </c>
      <c r="B361" s="15" t="s">
        <v>76</v>
      </c>
      <c r="C361" s="15">
        <v>30</v>
      </c>
      <c r="D361" s="15">
        <v>81</v>
      </c>
      <c r="E361" s="15">
        <v>65</v>
      </c>
      <c r="F361" s="15">
        <v>61</v>
      </c>
      <c r="G361" s="15">
        <v>60</v>
      </c>
      <c r="H361" s="15">
        <v>47</v>
      </c>
      <c r="I361" s="13" t="s">
        <v>125</v>
      </c>
      <c r="J361" s="15"/>
      <c r="K361" s="15">
        <v>0</v>
      </c>
    </row>
    <row r="362" spans="1:11" x14ac:dyDescent="0.2">
      <c r="A362" s="17" t="s">
        <v>7</v>
      </c>
      <c r="B362" s="15" t="s">
        <v>76</v>
      </c>
      <c r="C362" s="15">
        <v>34</v>
      </c>
      <c r="D362" s="15">
        <v>79</v>
      </c>
      <c r="E362" s="15">
        <v>89</v>
      </c>
      <c r="F362" s="15">
        <v>88</v>
      </c>
      <c r="G362" s="15">
        <v>77</v>
      </c>
      <c r="H362" s="15">
        <v>65</v>
      </c>
      <c r="I362" s="13" t="s">
        <v>125</v>
      </c>
      <c r="J362" s="15"/>
      <c r="K362" s="15">
        <v>0</v>
      </c>
    </row>
    <row r="363" spans="1:11" x14ac:dyDescent="0.2">
      <c r="A363" s="17" t="s">
        <v>8</v>
      </c>
      <c r="B363" s="15" t="s">
        <v>76</v>
      </c>
      <c r="C363" s="15">
        <v>47</v>
      </c>
      <c r="D363" s="15">
        <v>77</v>
      </c>
      <c r="E363" s="15">
        <v>73</v>
      </c>
      <c r="F363" s="15">
        <v>74</v>
      </c>
      <c r="G363" s="15">
        <v>66</v>
      </c>
      <c r="H363" s="15">
        <v>51</v>
      </c>
      <c r="I363" s="13" t="s">
        <v>125</v>
      </c>
      <c r="J363" s="15"/>
      <c r="K363" s="15">
        <v>0</v>
      </c>
    </row>
    <row r="364" spans="1:11" x14ac:dyDescent="0.2">
      <c r="A364" s="17" t="s">
        <v>9</v>
      </c>
      <c r="B364" s="15" t="s">
        <v>76</v>
      </c>
      <c r="C364" s="15">
        <v>26</v>
      </c>
      <c r="D364" s="15">
        <v>81</v>
      </c>
      <c r="E364" s="15">
        <v>74</v>
      </c>
      <c r="F364" s="15">
        <v>82</v>
      </c>
      <c r="G364" s="15">
        <v>78</v>
      </c>
      <c r="H364" s="15">
        <v>69</v>
      </c>
      <c r="I364" s="13" t="s">
        <v>125</v>
      </c>
      <c r="J364" s="15"/>
      <c r="K364" s="15">
        <v>0</v>
      </c>
    </row>
    <row r="365" spans="1:11" x14ac:dyDescent="0.2">
      <c r="A365" s="17" t="s">
        <v>10</v>
      </c>
      <c r="B365" s="15" t="s">
        <v>76</v>
      </c>
      <c r="C365" s="15">
        <v>36</v>
      </c>
      <c r="D365" s="15">
        <v>97</v>
      </c>
      <c r="E365" s="15">
        <v>89</v>
      </c>
      <c r="F365" s="15">
        <v>73</v>
      </c>
      <c r="G365" s="15">
        <v>81</v>
      </c>
      <c r="H365" s="15">
        <v>85</v>
      </c>
      <c r="I365" s="13" t="s">
        <v>125</v>
      </c>
      <c r="J365" s="15"/>
      <c r="K365" s="15">
        <v>0</v>
      </c>
    </row>
    <row r="366" spans="1:11" x14ac:dyDescent="0.2">
      <c r="A366" s="17" t="s">
        <v>11</v>
      </c>
      <c r="B366" s="15" t="s">
        <v>76</v>
      </c>
      <c r="C366" s="15">
        <v>37</v>
      </c>
      <c r="D366" s="15">
        <v>93</v>
      </c>
      <c r="E366" s="15">
        <v>94</v>
      </c>
      <c r="F366" s="15">
        <v>81</v>
      </c>
      <c r="G366" s="15">
        <v>85</v>
      </c>
      <c r="H366" s="15">
        <v>31</v>
      </c>
      <c r="I366" s="13" t="s">
        <v>125</v>
      </c>
      <c r="J366" s="15"/>
      <c r="K366" s="15">
        <v>0</v>
      </c>
    </row>
    <row r="367" spans="1:11" x14ac:dyDescent="0.2">
      <c r="A367" s="17" t="s">
        <v>12</v>
      </c>
      <c r="B367" s="15" t="s">
        <v>76</v>
      </c>
      <c r="C367" s="15">
        <v>10</v>
      </c>
      <c r="D367" s="15">
        <v>79</v>
      </c>
      <c r="E367" s="15">
        <v>67</v>
      </c>
      <c r="F367" s="15">
        <v>48</v>
      </c>
      <c r="G367" s="15">
        <v>53</v>
      </c>
      <c r="H367" s="15">
        <v>38</v>
      </c>
      <c r="I367" s="13" t="s">
        <v>125</v>
      </c>
      <c r="J367" s="15"/>
      <c r="K367" s="15">
        <v>0</v>
      </c>
    </row>
    <row r="368" spans="1:11" x14ac:dyDescent="0.2">
      <c r="A368" s="18" t="s">
        <v>18</v>
      </c>
      <c r="B368" s="15" t="s">
        <v>167</v>
      </c>
      <c r="C368" s="15">
        <v>36</v>
      </c>
      <c r="D368" s="15">
        <v>79</v>
      </c>
      <c r="E368" s="15">
        <v>73</v>
      </c>
      <c r="F368" s="15">
        <v>90</v>
      </c>
      <c r="G368" s="15">
        <v>84</v>
      </c>
      <c r="H368" s="15">
        <v>70</v>
      </c>
      <c r="I368" s="13" t="s">
        <v>125</v>
      </c>
      <c r="J368" s="15"/>
      <c r="K368" s="21">
        <v>0</v>
      </c>
    </row>
    <row r="369" spans="1:11" x14ac:dyDescent="0.2">
      <c r="A369" s="18" t="s">
        <v>19</v>
      </c>
      <c r="B369" s="15" t="s">
        <v>166</v>
      </c>
      <c r="C369" s="15">
        <v>14</v>
      </c>
      <c r="D369" s="15">
        <v>87.5</v>
      </c>
      <c r="E369" s="15">
        <v>88</v>
      </c>
      <c r="F369" s="15">
        <v>80</v>
      </c>
      <c r="G369" s="15">
        <v>72.5</v>
      </c>
      <c r="H369" s="15">
        <v>71.5</v>
      </c>
      <c r="I369" s="13" t="s">
        <v>125</v>
      </c>
      <c r="J369" s="15"/>
      <c r="K369" s="21">
        <v>0</v>
      </c>
    </row>
    <row r="370" spans="1:11" x14ac:dyDescent="0.2">
      <c r="A370" s="18" t="s">
        <v>20</v>
      </c>
      <c r="B370" s="15" t="s">
        <v>167</v>
      </c>
      <c r="C370" s="15">
        <v>39</v>
      </c>
      <c r="D370" s="15">
        <v>90</v>
      </c>
      <c r="E370" s="15">
        <v>95</v>
      </c>
      <c r="F370" s="15">
        <v>88</v>
      </c>
      <c r="G370" s="15">
        <v>83</v>
      </c>
      <c r="H370" s="15">
        <v>81</v>
      </c>
      <c r="I370" s="13" t="s">
        <v>125</v>
      </c>
      <c r="J370" s="15"/>
      <c r="K370" s="21">
        <v>0</v>
      </c>
    </row>
    <row r="371" spans="1:11" x14ac:dyDescent="0.2">
      <c r="A371" s="18" t="s">
        <v>21</v>
      </c>
      <c r="B371" s="15" t="s">
        <v>166</v>
      </c>
      <c r="C371" s="15">
        <v>13</v>
      </c>
      <c r="D371" s="15">
        <v>71</v>
      </c>
      <c r="E371" s="15">
        <v>68</v>
      </c>
      <c r="F371" s="15">
        <v>60</v>
      </c>
      <c r="G371" s="15">
        <v>73</v>
      </c>
      <c r="H371" s="15">
        <v>69</v>
      </c>
      <c r="I371" s="13" t="s">
        <v>125</v>
      </c>
      <c r="J371" s="15"/>
      <c r="K371" s="21">
        <v>0</v>
      </c>
    </row>
    <row r="372" spans="1:11" x14ac:dyDescent="0.2">
      <c r="A372" s="18" t="s">
        <v>22</v>
      </c>
      <c r="B372" s="15" t="s">
        <v>167</v>
      </c>
      <c r="C372" s="15">
        <v>31</v>
      </c>
      <c r="D372" s="15">
        <v>101</v>
      </c>
      <c r="E372" s="15">
        <v>103</v>
      </c>
      <c r="F372" s="15">
        <v>86</v>
      </c>
      <c r="G372" s="15">
        <v>69</v>
      </c>
      <c r="H372" s="15">
        <v>74.5</v>
      </c>
      <c r="I372" s="13" t="s">
        <v>125</v>
      </c>
      <c r="J372" s="15"/>
      <c r="K372" s="21">
        <v>0</v>
      </c>
    </row>
    <row r="373" spans="1:11" x14ac:dyDescent="0.2">
      <c r="A373" s="18" t="s">
        <v>23</v>
      </c>
      <c r="B373" s="15" t="s">
        <v>166</v>
      </c>
      <c r="C373" s="15">
        <v>0</v>
      </c>
      <c r="D373" s="15">
        <v>0</v>
      </c>
      <c r="E373" s="15">
        <v>0</v>
      </c>
      <c r="F373" s="15">
        <v>0</v>
      </c>
      <c r="G373" s="15">
        <v>0</v>
      </c>
      <c r="H373" s="15">
        <v>0</v>
      </c>
      <c r="I373" s="13" t="s">
        <v>125</v>
      </c>
      <c r="J373" s="15" t="s">
        <v>97</v>
      </c>
      <c r="K373" s="15"/>
    </row>
    <row r="374" spans="1:11" x14ac:dyDescent="0.2">
      <c r="A374" s="18" t="s">
        <v>24</v>
      </c>
      <c r="B374" s="15" t="s">
        <v>167</v>
      </c>
      <c r="C374" s="15">
        <v>22</v>
      </c>
      <c r="D374" s="15">
        <v>85</v>
      </c>
      <c r="E374" s="15">
        <v>81</v>
      </c>
      <c r="F374" s="15">
        <v>66</v>
      </c>
      <c r="G374" s="15">
        <v>73</v>
      </c>
      <c r="H374" s="15">
        <v>66</v>
      </c>
      <c r="I374" s="13" t="s">
        <v>125</v>
      </c>
      <c r="J374" s="15"/>
      <c r="K374" s="21">
        <v>0</v>
      </c>
    </row>
    <row r="375" spans="1:11" x14ac:dyDescent="0.2">
      <c r="A375" s="18" t="s">
        <v>25</v>
      </c>
      <c r="B375" s="15" t="s">
        <v>166</v>
      </c>
      <c r="C375" s="15">
        <v>6</v>
      </c>
      <c r="D375" s="15">
        <v>55.5</v>
      </c>
      <c r="E375" s="15">
        <v>61</v>
      </c>
      <c r="F375" s="15">
        <v>27</v>
      </c>
      <c r="G375" s="15">
        <v>32</v>
      </c>
      <c r="H375" s="15">
        <v>27.5</v>
      </c>
      <c r="I375" s="13" t="s">
        <v>125</v>
      </c>
      <c r="J375" s="15"/>
      <c r="K375" s="21">
        <v>1</v>
      </c>
    </row>
    <row r="376" spans="1:11" x14ac:dyDescent="0.2">
      <c r="A376" s="18" t="s">
        <v>26</v>
      </c>
      <c r="B376" s="15" t="s">
        <v>167</v>
      </c>
      <c r="C376" s="15">
        <v>18</v>
      </c>
      <c r="D376" s="15">
        <v>81</v>
      </c>
      <c r="E376" s="15">
        <v>94</v>
      </c>
      <c r="F376" s="15">
        <v>78</v>
      </c>
      <c r="G376" s="15">
        <v>65</v>
      </c>
      <c r="H376" s="15">
        <v>61</v>
      </c>
      <c r="I376" s="13" t="s">
        <v>125</v>
      </c>
      <c r="J376" s="15"/>
      <c r="K376" s="21">
        <v>0</v>
      </c>
    </row>
    <row r="377" spans="1:11" x14ac:dyDescent="0.2">
      <c r="A377" s="18" t="s">
        <v>27</v>
      </c>
      <c r="B377" s="15" t="s">
        <v>166</v>
      </c>
      <c r="C377" s="15">
        <v>21</v>
      </c>
      <c r="D377" s="15">
        <v>85</v>
      </c>
      <c r="E377" s="15">
        <v>85</v>
      </c>
      <c r="F377" s="15">
        <v>80</v>
      </c>
      <c r="G377" s="15">
        <v>75</v>
      </c>
      <c r="H377" s="15">
        <v>69</v>
      </c>
      <c r="I377" s="13" t="s">
        <v>125</v>
      </c>
      <c r="J377" s="15"/>
      <c r="K377" s="21">
        <v>0</v>
      </c>
    </row>
    <row r="378" spans="1:11" x14ac:dyDescent="0.2">
      <c r="A378" s="18" t="s">
        <v>28</v>
      </c>
      <c r="B378" s="15" t="s">
        <v>167</v>
      </c>
      <c r="C378" s="15">
        <v>25</v>
      </c>
      <c r="D378" s="15">
        <v>77</v>
      </c>
      <c r="E378" s="15">
        <v>74</v>
      </c>
      <c r="F378" s="15">
        <v>80</v>
      </c>
      <c r="G378" s="15">
        <v>73</v>
      </c>
      <c r="H378" s="15">
        <v>69</v>
      </c>
      <c r="I378" s="13" t="s">
        <v>125</v>
      </c>
      <c r="J378" s="15"/>
      <c r="K378" s="21">
        <v>0</v>
      </c>
    </row>
    <row r="379" spans="1:11" x14ac:dyDescent="0.2">
      <c r="A379" s="18" t="s">
        <v>29</v>
      </c>
      <c r="B379" s="15" t="s">
        <v>166</v>
      </c>
      <c r="C379" s="15">
        <v>15</v>
      </c>
      <c r="D379" s="15">
        <v>100</v>
      </c>
      <c r="E379" s="15">
        <v>60</v>
      </c>
      <c r="F379" s="15">
        <v>74</v>
      </c>
      <c r="G379" s="15">
        <v>62.5</v>
      </c>
      <c r="H379" s="15">
        <v>49</v>
      </c>
      <c r="I379" s="13" t="s">
        <v>125</v>
      </c>
      <c r="J379" s="15"/>
      <c r="K379" s="21">
        <v>0</v>
      </c>
    </row>
    <row r="380" spans="1:11" x14ac:dyDescent="0.2">
      <c r="A380" s="18" t="s">
        <v>30</v>
      </c>
      <c r="B380" s="15" t="s">
        <v>167</v>
      </c>
      <c r="C380" s="15">
        <v>27</v>
      </c>
      <c r="D380" s="15">
        <v>97</v>
      </c>
      <c r="E380" s="15">
        <v>87</v>
      </c>
      <c r="F380" s="15">
        <v>91</v>
      </c>
      <c r="G380" s="15">
        <v>76</v>
      </c>
      <c r="H380" s="15">
        <v>69</v>
      </c>
      <c r="I380" s="13" t="s">
        <v>125</v>
      </c>
      <c r="J380" s="15"/>
      <c r="K380" s="21">
        <v>0</v>
      </c>
    </row>
    <row r="381" spans="1:11" x14ac:dyDescent="0.2">
      <c r="A381" s="18" t="s">
        <v>31</v>
      </c>
      <c r="B381" s="15" t="s">
        <v>166</v>
      </c>
      <c r="C381" s="15">
        <v>18</v>
      </c>
      <c r="D381" s="15">
        <v>91</v>
      </c>
      <c r="E381" s="15">
        <v>84.5</v>
      </c>
      <c r="F381" s="15">
        <v>82</v>
      </c>
      <c r="G381" s="15">
        <v>71</v>
      </c>
      <c r="H381" s="15">
        <v>62</v>
      </c>
      <c r="I381" s="13" t="s">
        <v>125</v>
      </c>
      <c r="J381" s="15"/>
      <c r="K381" s="21">
        <v>0</v>
      </c>
    </row>
    <row r="382" spans="1:11" x14ac:dyDescent="0.2">
      <c r="A382" s="18" t="s">
        <v>32</v>
      </c>
      <c r="B382" s="15" t="s">
        <v>167</v>
      </c>
      <c r="C382" s="15">
        <v>41</v>
      </c>
      <c r="D382" s="15">
        <v>88</v>
      </c>
      <c r="E382" s="15">
        <v>81</v>
      </c>
      <c r="F382" s="15">
        <v>82</v>
      </c>
      <c r="G382" s="15">
        <v>86</v>
      </c>
      <c r="H382" s="15">
        <v>84</v>
      </c>
      <c r="I382" s="13" t="s">
        <v>125</v>
      </c>
      <c r="J382" s="15"/>
      <c r="K382" s="21">
        <v>0</v>
      </c>
    </row>
    <row r="383" spans="1:11" x14ac:dyDescent="0.2">
      <c r="A383" s="18" t="s">
        <v>33</v>
      </c>
      <c r="B383" s="15" t="s">
        <v>166</v>
      </c>
      <c r="C383" s="15">
        <v>11</v>
      </c>
      <c r="D383" s="15">
        <v>94</v>
      </c>
      <c r="E383" s="15">
        <v>87</v>
      </c>
      <c r="F383" s="15">
        <v>84</v>
      </c>
      <c r="G383" s="15">
        <v>81</v>
      </c>
      <c r="H383" s="15">
        <v>73</v>
      </c>
      <c r="I383" s="13" t="s">
        <v>125</v>
      </c>
      <c r="J383" s="15"/>
      <c r="K383" s="21">
        <v>1</v>
      </c>
    </row>
    <row r="384" spans="1:11" x14ac:dyDescent="0.2">
      <c r="A384" s="18" t="s">
        <v>34</v>
      </c>
      <c r="B384" s="15" t="s">
        <v>167</v>
      </c>
      <c r="C384" s="15">
        <v>37</v>
      </c>
      <c r="D384" s="15">
        <v>80</v>
      </c>
      <c r="E384" s="15">
        <v>74</v>
      </c>
      <c r="F384" s="15">
        <v>82</v>
      </c>
      <c r="G384" s="15">
        <v>69</v>
      </c>
      <c r="H384" s="15">
        <v>68</v>
      </c>
      <c r="I384" s="13" t="s">
        <v>125</v>
      </c>
      <c r="J384" s="15"/>
      <c r="K384" s="21">
        <v>4</v>
      </c>
    </row>
    <row r="385" spans="1:11" x14ac:dyDescent="0.2">
      <c r="A385" s="18" t="s">
        <v>35</v>
      </c>
      <c r="B385" s="15" t="s">
        <v>166</v>
      </c>
      <c r="C385" s="15">
        <v>12</v>
      </c>
      <c r="D385" s="15">
        <v>89</v>
      </c>
      <c r="E385" s="15">
        <v>80</v>
      </c>
      <c r="F385" s="15">
        <v>78</v>
      </c>
      <c r="G385" s="15">
        <v>59</v>
      </c>
      <c r="H385" s="15">
        <v>67</v>
      </c>
      <c r="I385" s="13" t="s">
        <v>125</v>
      </c>
      <c r="J385" s="15"/>
      <c r="K385" s="21">
        <v>1</v>
      </c>
    </row>
    <row r="386" spans="1:11" x14ac:dyDescent="0.2">
      <c r="A386" s="18" t="s">
        <v>36</v>
      </c>
      <c r="B386" s="15" t="s">
        <v>167</v>
      </c>
      <c r="C386" s="15">
        <v>22</v>
      </c>
      <c r="D386" s="15">
        <v>92</v>
      </c>
      <c r="E386" s="15">
        <v>85</v>
      </c>
      <c r="F386" s="15">
        <v>83.5</v>
      </c>
      <c r="G386" s="15">
        <v>95</v>
      </c>
      <c r="H386" s="15">
        <v>94</v>
      </c>
      <c r="I386" s="13" t="s">
        <v>125</v>
      </c>
      <c r="J386" s="15"/>
      <c r="K386" s="21">
        <v>0</v>
      </c>
    </row>
    <row r="387" spans="1:11" x14ac:dyDescent="0.2">
      <c r="A387" s="18" t="s">
        <v>37</v>
      </c>
      <c r="B387" s="15" t="s">
        <v>166</v>
      </c>
      <c r="C387" s="15">
        <v>9</v>
      </c>
      <c r="D387" s="15">
        <v>98</v>
      </c>
      <c r="E387" s="15">
        <v>95</v>
      </c>
      <c r="F387" s="15">
        <v>89</v>
      </c>
      <c r="G387" s="15">
        <v>67</v>
      </c>
      <c r="H387" s="15">
        <v>47</v>
      </c>
      <c r="I387" s="13" t="s">
        <v>125</v>
      </c>
      <c r="J387" s="15"/>
      <c r="K387" s="21">
        <v>3</v>
      </c>
    </row>
    <row r="388" spans="1:11" x14ac:dyDescent="0.2">
      <c r="A388" s="15" t="s">
        <v>14</v>
      </c>
      <c r="B388" s="15" t="s">
        <v>164</v>
      </c>
      <c r="C388" s="15">
        <v>19</v>
      </c>
      <c r="D388" s="15">
        <v>76</v>
      </c>
      <c r="E388" s="15">
        <v>112</v>
      </c>
      <c r="F388" s="15">
        <v>102</v>
      </c>
      <c r="G388" s="15">
        <v>80</v>
      </c>
      <c r="H388" s="15">
        <v>82</v>
      </c>
      <c r="I388" s="13" t="s">
        <v>125</v>
      </c>
      <c r="J388" s="15"/>
      <c r="K388" s="15">
        <v>0</v>
      </c>
    </row>
    <row r="389" spans="1:11" x14ac:dyDescent="0.2">
      <c r="A389" s="15" t="s">
        <v>15</v>
      </c>
      <c r="B389" s="15" t="s">
        <v>164</v>
      </c>
      <c r="C389" s="15">
        <v>3</v>
      </c>
      <c r="D389" s="15">
        <v>119</v>
      </c>
      <c r="E389" s="15">
        <v>91</v>
      </c>
      <c r="F389" s="15">
        <v>85</v>
      </c>
      <c r="G389" s="15" t="s">
        <v>96</v>
      </c>
      <c r="H389" s="15" t="s">
        <v>96</v>
      </c>
      <c r="I389" s="13" t="s">
        <v>125</v>
      </c>
      <c r="J389" s="15"/>
      <c r="K389" s="15">
        <v>0</v>
      </c>
    </row>
    <row r="390" spans="1:11" x14ac:dyDescent="0.2">
      <c r="A390" s="15" t="s">
        <v>16</v>
      </c>
      <c r="B390" s="15" t="s">
        <v>164</v>
      </c>
      <c r="C390" s="15">
        <v>27</v>
      </c>
      <c r="D390" s="15">
        <v>88</v>
      </c>
      <c r="E390" s="15">
        <v>113</v>
      </c>
      <c r="F390" s="15">
        <v>80</v>
      </c>
      <c r="G390" s="15">
        <v>82</v>
      </c>
      <c r="H390" s="15">
        <v>89</v>
      </c>
      <c r="I390" s="13" t="s">
        <v>125</v>
      </c>
      <c r="J390" s="15"/>
      <c r="K390" s="15">
        <v>0</v>
      </c>
    </row>
    <row r="391" spans="1:11" x14ac:dyDescent="0.2">
      <c r="A391" s="15" t="s">
        <v>17</v>
      </c>
      <c r="B391" s="15" t="s">
        <v>164</v>
      </c>
      <c r="C391" s="15">
        <v>9</v>
      </c>
      <c r="D391" s="15">
        <v>111</v>
      </c>
      <c r="E391" s="15">
        <v>75</v>
      </c>
      <c r="F391" s="15">
        <v>97</v>
      </c>
      <c r="G391" s="15">
        <v>105</v>
      </c>
      <c r="H391" s="15">
        <v>84</v>
      </c>
      <c r="I391" s="13" t="s">
        <v>125</v>
      </c>
      <c r="J391" s="15"/>
      <c r="K391" s="15">
        <v>0</v>
      </c>
    </row>
    <row r="392" spans="1:11" x14ac:dyDescent="0.2">
      <c r="A392" s="15" t="s">
        <v>58</v>
      </c>
      <c r="B392" s="15" t="s">
        <v>164</v>
      </c>
      <c r="C392" s="15">
        <v>34</v>
      </c>
      <c r="D392" s="15">
        <v>99</v>
      </c>
      <c r="E392" s="15">
        <v>101</v>
      </c>
      <c r="F392" s="15">
        <v>104</v>
      </c>
      <c r="G392" s="15">
        <v>70.5</v>
      </c>
      <c r="H392" s="15">
        <v>82</v>
      </c>
      <c r="I392" s="13" t="s">
        <v>125</v>
      </c>
      <c r="J392" s="15" t="s">
        <v>129</v>
      </c>
      <c r="K392" s="15">
        <v>0</v>
      </c>
    </row>
    <row r="393" spans="1:11" x14ac:dyDescent="0.2">
      <c r="A393" s="15" t="s">
        <v>59</v>
      </c>
      <c r="B393" s="15" t="s">
        <v>164</v>
      </c>
      <c r="C393" s="15">
        <v>12</v>
      </c>
      <c r="D393" s="15">
        <v>98</v>
      </c>
      <c r="E393" s="15">
        <v>99</v>
      </c>
      <c r="F393" s="15">
        <v>93</v>
      </c>
      <c r="G393" s="15">
        <v>75</v>
      </c>
      <c r="H393" s="15">
        <v>107</v>
      </c>
      <c r="I393" s="13" t="s">
        <v>125</v>
      </c>
      <c r="J393" s="15"/>
      <c r="K393" s="15">
        <v>0</v>
      </c>
    </row>
    <row r="394" spans="1:11" x14ac:dyDescent="0.2">
      <c r="A394" s="23" t="s">
        <v>38</v>
      </c>
      <c r="B394" s="6" t="s">
        <v>162</v>
      </c>
      <c r="C394" s="6">
        <v>69</v>
      </c>
      <c r="D394" s="6">
        <v>83.9</v>
      </c>
      <c r="E394" s="6">
        <v>78.2</v>
      </c>
      <c r="F394" s="6">
        <v>81.7</v>
      </c>
      <c r="G394" s="6">
        <v>83.4</v>
      </c>
      <c r="H394" s="6">
        <v>84.7</v>
      </c>
      <c r="I394" s="24" t="s">
        <v>145</v>
      </c>
    </row>
    <row r="395" spans="1:11" x14ac:dyDescent="0.2">
      <c r="A395" s="23" t="s">
        <v>39</v>
      </c>
      <c r="B395" s="6" t="s">
        <v>163</v>
      </c>
      <c r="C395" s="27">
        <v>0</v>
      </c>
      <c r="D395" s="27">
        <v>0</v>
      </c>
      <c r="E395" s="27">
        <v>0</v>
      </c>
      <c r="F395" s="27">
        <v>0</v>
      </c>
      <c r="G395" s="27">
        <v>0</v>
      </c>
      <c r="H395" s="27">
        <v>0</v>
      </c>
      <c r="I395" s="24" t="s">
        <v>145</v>
      </c>
      <c r="J395" s="6" t="s">
        <v>139</v>
      </c>
    </row>
    <row r="396" spans="1:11" x14ac:dyDescent="0.2">
      <c r="A396" s="23" t="s">
        <v>40</v>
      </c>
      <c r="B396" s="15" t="s">
        <v>162</v>
      </c>
      <c r="C396" s="6">
        <v>41</v>
      </c>
      <c r="D396" s="6">
        <v>50</v>
      </c>
      <c r="E396" s="6">
        <v>44.8</v>
      </c>
      <c r="F396" s="6">
        <v>60.3</v>
      </c>
      <c r="G396" s="6">
        <v>47.6</v>
      </c>
      <c r="H396" s="6">
        <v>58.7</v>
      </c>
      <c r="I396" s="24" t="s">
        <v>144</v>
      </c>
    </row>
    <row r="397" spans="1:11" x14ac:dyDescent="0.2">
      <c r="A397" s="23" t="s">
        <v>41</v>
      </c>
      <c r="B397" s="15" t="s">
        <v>163</v>
      </c>
      <c r="C397" s="27">
        <v>0</v>
      </c>
      <c r="D397" s="27">
        <v>0</v>
      </c>
      <c r="E397" s="27">
        <v>0</v>
      </c>
      <c r="F397" s="27">
        <v>0</v>
      </c>
      <c r="G397" s="27">
        <v>0</v>
      </c>
      <c r="H397" s="27">
        <v>0</v>
      </c>
      <c r="I397" s="24" t="s">
        <v>144</v>
      </c>
      <c r="J397" s="6" t="s">
        <v>139</v>
      </c>
    </row>
    <row r="398" spans="1:11" x14ac:dyDescent="0.2">
      <c r="A398" s="23" t="s">
        <v>42</v>
      </c>
      <c r="B398" s="15" t="s">
        <v>162</v>
      </c>
      <c r="C398" s="6">
        <v>34</v>
      </c>
      <c r="D398" s="6">
        <v>64.8</v>
      </c>
      <c r="E398" s="6">
        <v>59.4</v>
      </c>
      <c r="F398" s="6">
        <v>53.6</v>
      </c>
      <c r="G398" s="6">
        <v>63.6</v>
      </c>
      <c r="H398" s="6">
        <v>53.3</v>
      </c>
      <c r="I398" s="24" t="s">
        <v>144</v>
      </c>
    </row>
    <row r="399" spans="1:11" x14ac:dyDescent="0.2">
      <c r="A399" s="23" t="s">
        <v>43</v>
      </c>
      <c r="B399" s="15" t="s">
        <v>163</v>
      </c>
      <c r="C399" s="27">
        <v>0</v>
      </c>
      <c r="D399" s="27">
        <v>0</v>
      </c>
      <c r="E399" s="27">
        <v>0</v>
      </c>
      <c r="F399" s="27">
        <v>0</v>
      </c>
      <c r="G399" s="27">
        <v>0</v>
      </c>
      <c r="H399" s="27">
        <v>0</v>
      </c>
      <c r="I399" s="24" t="s">
        <v>144</v>
      </c>
      <c r="J399" s="6" t="s">
        <v>139</v>
      </c>
    </row>
    <row r="400" spans="1:11" x14ac:dyDescent="0.2">
      <c r="A400" s="23" t="s">
        <v>44</v>
      </c>
      <c r="B400" s="15" t="s">
        <v>162</v>
      </c>
      <c r="C400" s="6">
        <v>66</v>
      </c>
      <c r="D400" s="6">
        <v>53.7</v>
      </c>
      <c r="E400" s="6">
        <v>47.1</v>
      </c>
      <c r="F400" s="6">
        <v>51.1</v>
      </c>
      <c r="G400" s="6">
        <v>48.6</v>
      </c>
      <c r="H400" s="6">
        <v>48.6</v>
      </c>
      <c r="I400" s="24" t="s">
        <v>144</v>
      </c>
      <c r="J400" s="6" t="s">
        <v>130</v>
      </c>
    </row>
    <row r="401" spans="1:15" x14ac:dyDescent="0.2">
      <c r="A401" s="23" t="s">
        <v>45</v>
      </c>
      <c r="B401" s="15" t="s">
        <v>163</v>
      </c>
      <c r="C401" s="27">
        <v>0</v>
      </c>
      <c r="D401" s="27">
        <v>0</v>
      </c>
      <c r="E401" s="27">
        <v>0</v>
      </c>
      <c r="F401" s="27">
        <v>0</v>
      </c>
      <c r="G401" s="27">
        <v>0</v>
      </c>
      <c r="H401" s="27">
        <v>0</v>
      </c>
      <c r="I401" s="24" t="s">
        <v>144</v>
      </c>
      <c r="J401" s="6" t="s">
        <v>139</v>
      </c>
    </row>
    <row r="402" spans="1:15" x14ac:dyDescent="0.2">
      <c r="A402" s="23" t="s">
        <v>46</v>
      </c>
      <c r="B402" s="15" t="s">
        <v>162</v>
      </c>
      <c r="C402" s="27">
        <v>0</v>
      </c>
      <c r="D402" s="27">
        <v>0</v>
      </c>
      <c r="E402" s="27">
        <v>0</v>
      </c>
      <c r="F402" s="27">
        <v>0</v>
      </c>
      <c r="G402" s="27">
        <v>0</v>
      </c>
      <c r="H402" s="27">
        <v>0</v>
      </c>
      <c r="I402" s="24" t="s">
        <v>144</v>
      </c>
      <c r="J402" s="6" t="s">
        <v>139</v>
      </c>
    </row>
    <row r="403" spans="1:15" x14ac:dyDescent="0.2">
      <c r="A403" s="23" t="s">
        <v>47</v>
      </c>
      <c r="B403" s="15" t="s">
        <v>163</v>
      </c>
      <c r="C403" s="27">
        <v>0</v>
      </c>
      <c r="D403" s="27">
        <v>0</v>
      </c>
      <c r="E403" s="27">
        <v>0</v>
      </c>
      <c r="F403" s="27">
        <v>0</v>
      </c>
      <c r="G403" s="27">
        <v>0</v>
      </c>
      <c r="H403" s="27">
        <v>0</v>
      </c>
      <c r="I403" s="24" t="s">
        <v>144</v>
      </c>
      <c r="J403" s="6" t="s">
        <v>139</v>
      </c>
    </row>
    <row r="404" spans="1:15" x14ac:dyDescent="0.2">
      <c r="A404" s="23" t="s">
        <v>48</v>
      </c>
      <c r="B404" s="15" t="s">
        <v>162</v>
      </c>
      <c r="C404" s="27">
        <v>55</v>
      </c>
      <c r="D404" s="27">
        <v>71.2</v>
      </c>
      <c r="E404" s="27">
        <v>66.5</v>
      </c>
      <c r="F404" s="27">
        <v>71.8</v>
      </c>
      <c r="G404" s="27">
        <v>67.5</v>
      </c>
      <c r="H404" s="27">
        <v>71.599999999999994</v>
      </c>
      <c r="I404" s="24" t="s">
        <v>144</v>
      </c>
    </row>
    <row r="405" spans="1:15" x14ac:dyDescent="0.2">
      <c r="A405" s="23" t="s">
        <v>49</v>
      </c>
      <c r="B405" s="15" t="s">
        <v>163</v>
      </c>
      <c r="C405" s="27">
        <v>0</v>
      </c>
      <c r="D405" s="27">
        <v>0</v>
      </c>
      <c r="E405" s="27">
        <v>0</v>
      </c>
      <c r="F405" s="27">
        <v>0</v>
      </c>
      <c r="G405" s="27">
        <v>0</v>
      </c>
      <c r="H405" s="27">
        <v>0</v>
      </c>
      <c r="I405" s="24" t="s">
        <v>144</v>
      </c>
      <c r="J405" s="6" t="s">
        <v>139</v>
      </c>
    </row>
    <row r="406" spans="1:15" x14ac:dyDescent="0.2">
      <c r="A406" s="23" t="s">
        <v>50</v>
      </c>
      <c r="B406" s="15" t="s">
        <v>162</v>
      </c>
      <c r="C406" s="27">
        <v>0</v>
      </c>
      <c r="D406" s="27">
        <v>0</v>
      </c>
      <c r="E406" s="27">
        <v>0</v>
      </c>
      <c r="F406" s="27">
        <v>0</v>
      </c>
      <c r="G406" s="27">
        <v>0</v>
      </c>
      <c r="H406" s="27">
        <v>0</v>
      </c>
      <c r="I406" s="24" t="s">
        <v>144</v>
      </c>
      <c r="J406" s="6" t="s">
        <v>139</v>
      </c>
    </row>
    <row r="407" spans="1:15" x14ac:dyDescent="0.2">
      <c r="A407" s="23" t="s">
        <v>51</v>
      </c>
      <c r="B407" s="15" t="s">
        <v>163</v>
      </c>
      <c r="C407" s="27">
        <v>0</v>
      </c>
      <c r="D407" s="27">
        <v>0</v>
      </c>
      <c r="E407" s="27">
        <v>0</v>
      </c>
      <c r="F407" s="27">
        <v>0</v>
      </c>
      <c r="G407" s="27">
        <v>0</v>
      </c>
      <c r="H407" s="27">
        <v>0</v>
      </c>
      <c r="I407" s="24" t="s">
        <v>144</v>
      </c>
      <c r="J407" s="6" t="s">
        <v>139</v>
      </c>
    </row>
    <row r="408" spans="1:15" x14ac:dyDescent="0.2">
      <c r="A408" s="23" t="s">
        <v>52</v>
      </c>
      <c r="B408" s="15" t="s">
        <v>162</v>
      </c>
      <c r="C408" s="27">
        <v>32</v>
      </c>
      <c r="D408" s="27">
        <v>68</v>
      </c>
      <c r="E408" s="27">
        <v>73</v>
      </c>
      <c r="F408" s="27">
        <v>61</v>
      </c>
      <c r="G408" s="27">
        <v>61</v>
      </c>
      <c r="H408" s="27">
        <v>62</v>
      </c>
      <c r="I408" s="24" t="s">
        <v>144</v>
      </c>
    </row>
    <row r="409" spans="1:15" x14ac:dyDescent="0.2">
      <c r="A409" s="23" t="s">
        <v>53</v>
      </c>
      <c r="B409" s="15" t="s">
        <v>163</v>
      </c>
      <c r="C409" s="27">
        <v>0</v>
      </c>
      <c r="D409" s="27">
        <v>0</v>
      </c>
      <c r="E409" s="27">
        <v>0</v>
      </c>
      <c r="F409" s="27">
        <v>0</v>
      </c>
      <c r="G409" s="27">
        <v>0</v>
      </c>
      <c r="H409" s="27">
        <v>0</v>
      </c>
      <c r="I409" s="24" t="s">
        <v>144</v>
      </c>
      <c r="J409" s="6" t="s">
        <v>139</v>
      </c>
    </row>
    <row r="410" spans="1:15" x14ac:dyDescent="0.2">
      <c r="A410" s="23" t="s">
        <v>142</v>
      </c>
      <c r="B410" s="15" t="s">
        <v>162</v>
      </c>
      <c r="C410" s="6">
        <v>61</v>
      </c>
      <c r="D410" s="6">
        <v>56</v>
      </c>
      <c r="E410" s="6">
        <v>42.3</v>
      </c>
      <c r="F410" s="6">
        <v>39.4</v>
      </c>
      <c r="G410" s="6">
        <v>43.2</v>
      </c>
      <c r="H410" s="6">
        <v>45.5</v>
      </c>
      <c r="I410" s="24" t="s">
        <v>144</v>
      </c>
    </row>
    <row r="411" spans="1:15" x14ac:dyDescent="0.2">
      <c r="A411" s="23" t="s">
        <v>143</v>
      </c>
      <c r="B411" s="15" t="s">
        <v>163</v>
      </c>
      <c r="C411" s="6">
        <v>96</v>
      </c>
      <c r="D411" s="6">
        <v>77.400000000000006</v>
      </c>
      <c r="E411" s="6">
        <v>81.2</v>
      </c>
      <c r="F411" s="6">
        <v>82.5</v>
      </c>
      <c r="G411" s="6">
        <v>78.400000000000006</v>
      </c>
      <c r="H411" s="6">
        <v>82.2</v>
      </c>
      <c r="I411" s="24" t="s">
        <v>144</v>
      </c>
    </row>
    <row r="412" spans="1:15" s="4" customFormat="1" x14ac:dyDescent="0.2">
      <c r="A412" s="31" t="s">
        <v>56</v>
      </c>
      <c r="B412" s="15" t="s">
        <v>162</v>
      </c>
      <c r="C412" s="27">
        <v>0</v>
      </c>
      <c r="D412" s="27">
        <v>0</v>
      </c>
      <c r="E412" s="27">
        <v>0</v>
      </c>
      <c r="F412" s="27">
        <v>0</v>
      </c>
      <c r="G412" s="27">
        <v>0</v>
      </c>
      <c r="H412" s="27">
        <v>0</v>
      </c>
      <c r="I412" s="24" t="s">
        <v>144</v>
      </c>
      <c r="J412" s="30" t="s">
        <v>139</v>
      </c>
      <c r="K412" s="10"/>
      <c r="L412" s="10"/>
      <c r="M412" s="10"/>
      <c r="N412" s="10"/>
      <c r="O412" s="10"/>
    </row>
    <row r="413" spans="1:15" x14ac:dyDescent="0.2">
      <c r="A413" s="23" t="s">
        <v>57</v>
      </c>
      <c r="B413" s="15" t="s">
        <v>163</v>
      </c>
      <c r="C413" s="27">
        <v>0</v>
      </c>
      <c r="D413" s="27">
        <v>0</v>
      </c>
      <c r="E413" s="27">
        <v>0</v>
      </c>
      <c r="F413" s="27">
        <v>0</v>
      </c>
      <c r="G413" s="27">
        <v>0</v>
      </c>
      <c r="H413" s="27">
        <v>0</v>
      </c>
      <c r="I413" s="24" t="s">
        <v>144</v>
      </c>
      <c r="J413" s="6" t="s">
        <v>139</v>
      </c>
    </row>
    <row r="414" spans="1:15" x14ac:dyDescent="0.2">
      <c r="A414" s="25" t="s">
        <v>3</v>
      </c>
      <c r="B414" s="15" t="s">
        <v>162</v>
      </c>
      <c r="C414" s="27">
        <v>0</v>
      </c>
      <c r="D414" s="27">
        <v>0</v>
      </c>
      <c r="E414" s="27">
        <v>0</v>
      </c>
      <c r="F414" s="27">
        <v>0</v>
      </c>
      <c r="G414" s="27">
        <v>0</v>
      </c>
      <c r="H414" s="27">
        <v>0</v>
      </c>
      <c r="I414" s="24" t="s">
        <v>144</v>
      </c>
      <c r="J414" s="6" t="s">
        <v>139</v>
      </c>
    </row>
    <row r="415" spans="1:15" x14ac:dyDescent="0.2">
      <c r="A415" s="25" t="s">
        <v>4</v>
      </c>
      <c r="B415" s="15" t="s">
        <v>163</v>
      </c>
      <c r="C415" s="6">
        <v>81</v>
      </c>
      <c r="D415" s="6">
        <v>90.4</v>
      </c>
      <c r="E415" s="6">
        <v>81.2</v>
      </c>
      <c r="F415" s="6">
        <v>79.3</v>
      </c>
      <c r="G415" s="6">
        <v>81.400000000000006</v>
      </c>
      <c r="H415" s="6">
        <v>78.599999999999994</v>
      </c>
      <c r="I415" s="24" t="s">
        <v>144</v>
      </c>
    </row>
    <row r="416" spans="1:15" x14ac:dyDescent="0.2">
      <c r="A416" s="25" t="s">
        <v>5</v>
      </c>
      <c r="B416" s="6" t="s">
        <v>76</v>
      </c>
      <c r="C416" s="6">
        <v>85</v>
      </c>
      <c r="D416" s="6">
        <v>94.2</v>
      </c>
      <c r="E416" s="6">
        <v>92.7</v>
      </c>
      <c r="F416" s="6">
        <v>87</v>
      </c>
      <c r="G416" s="6">
        <v>83.4</v>
      </c>
      <c r="H416" s="6">
        <v>83.7</v>
      </c>
      <c r="I416" s="24" t="s">
        <v>144</v>
      </c>
    </row>
    <row r="417" spans="1:11" x14ac:dyDescent="0.2">
      <c r="A417" s="25" t="s">
        <v>6</v>
      </c>
      <c r="B417" s="6" t="s">
        <v>76</v>
      </c>
      <c r="C417" s="6">
        <v>56</v>
      </c>
      <c r="D417" s="6">
        <v>79.400000000000006</v>
      </c>
      <c r="E417" s="6">
        <v>78.3</v>
      </c>
      <c r="F417" s="6">
        <v>68.8</v>
      </c>
      <c r="G417" s="6">
        <v>67.2</v>
      </c>
      <c r="H417" s="6">
        <v>71.099999999999994</v>
      </c>
      <c r="I417" s="24" t="s">
        <v>144</v>
      </c>
    </row>
    <row r="418" spans="1:11" x14ac:dyDescent="0.2">
      <c r="A418" s="25" t="s">
        <v>7</v>
      </c>
      <c r="B418" s="6" t="s">
        <v>76</v>
      </c>
      <c r="C418" s="6">
        <v>107</v>
      </c>
      <c r="D418" s="6">
        <v>87.7</v>
      </c>
      <c r="E418" s="6">
        <v>82.4</v>
      </c>
      <c r="F418" s="6">
        <v>84.7</v>
      </c>
      <c r="G418" s="6">
        <v>83.8</v>
      </c>
      <c r="H418" s="6">
        <v>84.7</v>
      </c>
      <c r="I418" s="24" t="s">
        <v>144</v>
      </c>
    </row>
    <row r="419" spans="1:11" x14ac:dyDescent="0.2">
      <c r="A419" s="25" t="s">
        <v>8</v>
      </c>
      <c r="B419" s="6" t="s">
        <v>76</v>
      </c>
      <c r="C419" s="6">
        <v>118</v>
      </c>
      <c r="D419" s="6">
        <v>90.6</v>
      </c>
      <c r="E419" s="6">
        <v>97.7</v>
      </c>
      <c r="F419" s="6">
        <v>91.1</v>
      </c>
      <c r="G419" s="6">
        <v>88.4</v>
      </c>
      <c r="H419" s="6">
        <v>89.3</v>
      </c>
      <c r="I419" s="24" t="s">
        <v>144</v>
      </c>
    </row>
    <row r="420" spans="1:11" x14ac:dyDescent="0.2">
      <c r="A420" s="25" t="s">
        <v>9</v>
      </c>
      <c r="B420" s="6" t="s">
        <v>76</v>
      </c>
      <c r="C420" s="6">
        <v>71</v>
      </c>
      <c r="D420" s="6">
        <v>84.3</v>
      </c>
      <c r="E420" s="6">
        <v>83.1</v>
      </c>
      <c r="F420" s="6">
        <v>78.400000000000006</v>
      </c>
      <c r="G420" s="6">
        <v>79.099999999999994</v>
      </c>
      <c r="H420" s="6">
        <v>76.099999999999994</v>
      </c>
      <c r="I420" s="24" t="s">
        <v>144</v>
      </c>
    </row>
    <row r="421" spans="1:11" x14ac:dyDescent="0.2">
      <c r="A421" s="25" t="s">
        <v>10</v>
      </c>
      <c r="B421" s="6" t="s">
        <v>76</v>
      </c>
      <c r="C421" s="6">
        <v>108</v>
      </c>
      <c r="D421" s="6">
        <v>93.3</v>
      </c>
      <c r="E421" s="6">
        <v>93.7</v>
      </c>
      <c r="F421" s="6">
        <v>98.5</v>
      </c>
      <c r="G421" s="6">
        <v>95.6</v>
      </c>
      <c r="H421" s="6">
        <v>95.8</v>
      </c>
      <c r="I421" s="24" t="s">
        <v>144</v>
      </c>
    </row>
    <row r="422" spans="1:11" x14ac:dyDescent="0.2">
      <c r="A422" s="25" t="s">
        <v>11</v>
      </c>
      <c r="B422" s="6" t="s">
        <v>76</v>
      </c>
      <c r="C422" s="6">
        <v>96</v>
      </c>
      <c r="D422" s="6">
        <v>82.9</v>
      </c>
      <c r="E422" s="6">
        <v>87.9</v>
      </c>
      <c r="F422" s="6">
        <v>90</v>
      </c>
      <c r="G422" s="6">
        <v>87.6</v>
      </c>
      <c r="H422" s="6">
        <v>84.3</v>
      </c>
      <c r="I422" s="24" t="s">
        <v>144</v>
      </c>
    </row>
    <row r="423" spans="1:11" x14ac:dyDescent="0.2">
      <c r="A423" s="25" t="s">
        <v>12</v>
      </c>
      <c r="B423" s="6" t="s">
        <v>76</v>
      </c>
      <c r="C423" s="6">
        <v>26</v>
      </c>
      <c r="D423" s="6">
        <v>85.2</v>
      </c>
      <c r="E423" s="6">
        <v>67.5</v>
      </c>
      <c r="F423" s="6">
        <v>89.8</v>
      </c>
      <c r="G423" s="6">
        <v>78.400000000000006</v>
      </c>
      <c r="H423" s="6">
        <v>70</v>
      </c>
      <c r="I423" s="24" t="s">
        <v>144</v>
      </c>
    </row>
    <row r="424" spans="1:11" x14ac:dyDescent="0.2">
      <c r="A424" s="22" t="s">
        <v>18</v>
      </c>
      <c r="B424" s="15" t="s">
        <v>167</v>
      </c>
      <c r="C424" s="6">
        <v>98</v>
      </c>
      <c r="D424" s="6">
        <v>85.5</v>
      </c>
      <c r="E424" s="6">
        <v>78.900000000000006</v>
      </c>
      <c r="F424" s="6">
        <v>89.4</v>
      </c>
      <c r="G424" s="6">
        <v>87.1</v>
      </c>
      <c r="H424" s="6">
        <v>95.3</v>
      </c>
      <c r="I424" s="24" t="s">
        <v>144</v>
      </c>
    </row>
    <row r="425" spans="1:11" x14ac:dyDescent="0.2">
      <c r="A425" s="22" t="s">
        <v>19</v>
      </c>
      <c r="B425" s="15" t="s">
        <v>166</v>
      </c>
      <c r="C425" s="6">
        <v>11</v>
      </c>
      <c r="D425" s="6">
        <v>49</v>
      </c>
      <c r="E425" s="6">
        <v>61</v>
      </c>
      <c r="F425" s="6">
        <v>37</v>
      </c>
      <c r="G425" s="6">
        <v>35</v>
      </c>
      <c r="H425" s="6">
        <v>37</v>
      </c>
      <c r="I425" s="24" t="s">
        <v>144</v>
      </c>
      <c r="K425" s="6" t="s">
        <v>135</v>
      </c>
    </row>
    <row r="426" spans="1:11" x14ac:dyDescent="0.2">
      <c r="A426" s="22" t="s">
        <v>20</v>
      </c>
      <c r="B426" s="15" t="s">
        <v>167</v>
      </c>
      <c r="C426" s="6">
        <v>93</v>
      </c>
      <c r="D426" s="6">
        <v>90.2</v>
      </c>
      <c r="E426" s="6">
        <v>89.4</v>
      </c>
      <c r="F426" s="6">
        <v>95.2</v>
      </c>
      <c r="G426" s="6">
        <v>91.7</v>
      </c>
      <c r="H426" s="6">
        <v>81.2</v>
      </c>
      <c r="I426" s="24" t="s">
        <v>144</v>
      </c>
    </row>
    <row r="427" spans="1:11" x14ac:dyDescent="0.2">
      <c r="A427" s="22" t="s">
        <v>21</v>
      </c>
      <c r="B427" s="15" t="s">
        <v>166</v>
      </c>
      <c r="C427" s="6">
        <v>20</v>
      </c>
      <c r="D427" s="6">
        <v>49.9</v>
      </c>
      <c r="E427" s="6">
        <v>47</v>
      </c>
      <c r="F427" s="6">
        <v>51.9</v>
      </c>
      <c r="G427" s="6">
        <v>61.1</v>
      </c>
      <c r="H427" s="6">
        <v>50.8</v>
      </c>
      <c r="I427" s="24" t="s">
        <v>144</v>
      </c>
    </row>
    <row r="428" spans="1:11" x14ac:dyDescent="0.2">
      <c r="A428" s="22" t="s">
        <v>22</v>
      </c>
      <c r="B428" s="15" t="s">
        <v>167</v>
      </c>
      <c r="C428" s="27">
        <v>0</v>
      </c>
      <c r="D428" s="27">
        <v>0</v>
      </c>
      <c r="E428" s="27">
        <v>0</v>
      </c>
      <c r="F428" s="27">
        <v>0</v>
      </c>
      <c r="G428" s="27">
        <v>0</v>
      </c>
      <c r="H428" s="27">
        <v>0</v>
      </c>
      <c r="I428" s="24" t="s">
        <v>144</v>
      </c>
      <c r="J428" s="6" t="s">
        <v>139</v>
      </c>
    </row>
    <row r="429" spans="1:11" x14ac:dyDescent="0.2">
      <c r="A429" s="22" t="s">
        <v>23</v>
      </c>
      <c r="B429" s="15" t="s">
        <v>166</v>
      </c>
      <c r="C429" s="27">
        <v>0</v>
      </c>
      <c r="D429" s="27">
        <v>0</v>
      </c>
      <c r="E429" s="27">
        <v>0</v>
      </c>
      <c r="F429" s="27">
        <v>0</v>
      </c>
      <c r="G429" s="27">
        <v>0</v>
      </c>
      <c r="H429" s="27">
        <v>0</v>
      </c>
      <c r="I429" s="24" t="s">
        <v>144</v>
      </c>
      <c r="J429" s="6" t="s">
        <v>139</v>
      </c>
    </row>
    <row r="430" spans="1:11" x14ac:dyDescent="0.2">
      <c r="A430" s="22" t="s">
        <v>24</v>
      </c>
      <c r="B430" s="15" t="s">
        <v>167</v>
      </c>
      <c r="C430" s="6">
        <v>43</v>
      </c>
      <c r="D430" s="6">
        <v>86</v>
      </c>
      <c r="E430" s="6">
        <v>77.2</v>
      </c>
      <c r="F430" s="6">
        <v>80.8</v>
      </c>
      <c r="G430" s="6">
        <v>66</v>
      </c>
      <c r="H430" s="6">
        <v>74</v>
      </c>
      <c r="I430" s="24" t="s">
        <v>144</v>
      </c>
    </row>
    <row r="431" spans="1:11" x14ac:dyDescent="0.2">
      <c r="A431" s="22" t="s">
        <v>25</v>
      </c>
      <c r="B431" s="15" t="s">
        <v>166</v>
      </c>
      <c r="C431" s="6">
        <v>5</v>
      </c>
      <c r="D431" s="6">
        <v>48.2</v>
      </c>
      <c r="E431" s="6">
        <v>69.099999999999994</v>
      </c>
      <c r="F431" s="6">
        <v>24.4</v>
      </c>
      <c r="G431" s="6">
        <v>18.899999999999999</v>
      </c>
      <c r="H431" s="6">
        <v>15.3</v>
      </c>
      <c r="I431" s="24" t="s">
        <v>144</v>
      </c>
    </row>
    <row r="432" spans="1:11" x14ac:dyDescent="0.2">
      <c r="A432" s="22" t="s">
        <v>26</v>
      </c>
      <c r="B432" s="15" t="s">
        <v>167</v>
      </c>
      <c r="C432" s="6">
        <v>81</v>
      </c>
      <c r="D432" s="6">
        <v>89.4</v>
      </c>
      <c r="E432" s="6">
        <v>90.1</v>
      </c>
      <c r="F432" s="6">
        <v>89.9</v>
      </c>
      <c r="G432" s="6">
        <v>91.2</v>
      </c>
      <c r="H432" s="6">
        <v>93.2</v>
      </c>
      <c r="I432" s="24" t="s">
        <v>144</v>
      </c>
      <c r="J432" s="6" t="s">
        <v>141</v>
      </c>
    </row>
    <row r="433" spans="1:11" x14ac:dyDescent="0.2">
      <c r="A433" s="22" t="s">
        <v>27</v>
      </c>
      <c r="B433" s="15" t="s">
        <v>166</v>
      </c>
      <c r="C433" s="27">
        <v>0</v>
      </c>
      <c r="D433" s="27">
        <v>0</v>
      </c>
      <c r="E433" s="27">
        <v>0</v>
      </c>
      <c r="F433" s="27">
        <v>0</v>
      </c>
      <c r="G433" s="27">
        <v>0</v>
      </c>
      <c r="H433" s="27">
        <v>0</v>
      </c>
      <c r="I433" s="24" t="s">
        <v>144</v>
      </c>
      <c r="J433" s="6" t="s">
        <v>139</v>
      </c>
    </row>
    <row r="434" spans="1:11" x14ac:dyDescent="0.2">
      <c r="A434" s="22" t="s">
        <v>28</v>
      </c>
      <c r="B434" s="15" t="s">
        <v>167</v>
      </c>
      <c r="C434" s="6">
        <v>67</v>
      </c>
      <c r="D434" s="6">
        <v>72.099999999999994</v>
      </c>
      <c r="E434" s="6">
        <v>73.099999999999994</v>
      </c>
      <c r="F434" s="6">
        <v>78.3</v>
      </c>
      <c r="G434" s="6">
        <v>73.3</v>
      </c>
      <c r="H434" s="6">
        <v>70.099999999999994</v>
      </c>
      <c r="I434" s="24" t="s">
        <v>144</v>
      </c>
      <c r="K434" s="6" t="s">
        <v>136</v>
      </c>
    </row>
    <row r="435" spans="1:11" x14ac:dyDescent="0.2">
      <c r="A435" s="22" t="s">
        <v>29</v>
      </c>
      <c r="B435" s="15" t="s">
        <v>166</v>
      </c>
      <c r="C435" s="6">
        <v>12</v>
      </c>
      <c r="D435" s="6">
        <v>62.9</v>
      </c>
      <c r="E435" s="6">
        <v>41.5</v>
      </c>
      <c r="F435" s="6">
        <v>59</v>
      </c>
      <c r="G435" s="6">
        <v>51.6</v>
      </c>
      <c r="H435" s="6">
        <v>55.4</v>
      </c>
      <c r="I435" s="24" t="s">
        <v>144</v>
      </c>
    </row>
    <row r="436" spans="1:11" x14ac:dyDescent="0.2">
      <c r="A436" s="22" t="s">
        <v>30</v>
      </c>
      <c r="B436" s="15" t="s">
        <v>167</v>
      </c>
      <c r="C436" s="6">
        <v>54</v>
      </c>
      <c r="D436" s="6">
        <v>81.900000000000006</v>
      </c>
      <c r="E436" s="6">
        <v>78.400000000000006</v>
      </c>
      <c r="F436" s="6">
        <v>82.7</v>
      </c>
      <c r="G436" s="6">
        <v>78.7</v>
      </c>
      <c r="H436" s="6">
        <v>95.5</v>
      </c>
      <c r="I436" s="24" t="s">
        <v>144</v>
      </c>
      <c r="K436" s="6" t="s">
        <v>136</v>
      </c>
    </row>
    <row r="437" spans="1:11" x14ac:dyDescent="0.2">
      <c r="A437" s="22" t="s">
        <v>31</v>
      </c>
      <c r="B437" s="15" t="s">
        <v>166</v>
      </c>
      <c r="C437" s="6">
        <v>27</v>
      </c>
      <c r="D437" s="6">
        <v>56.9</v>
      </c>
      <c r="E437" s="6">
        <v>105</v>
      </c>
      <c r="F437" s="6">
        <v>70.8</v>
      </c>
      <c r="G437" s="6">
        <v>65.400000000000006</v>
      </c>
      <c r="H437" s="6">
        <v>57.3</v>
      </c>
      <c r="I437" s="24" t="s">
        <v>144</v>
      </c>
    </row>
    <row r="438" spans="1:11" x14ac:dyDescent="0.2">
      <c r="A438" s="22" t="s">
        <v>32</v>
      </c>
      <c r="B438" s="15" t="s">
        <v>167</v>
      </c>
      <c r="C438" s="6">
        <v>102</v>
      </c>
      <c r="D438" s="6">
        <v>82.7</v>
      </c>
      <c r="E438" s="6">
        <v>86.8</v>
      </c>
      <c r="F438" s="6">
        <v>98.6</v>
      </c>
      <c r="G438" s="6">
        <v>95.4</v>
      </c>
      <c r="H438" s="6">
        <v>89.7</v>
      </c>
      <c r="I438" s="24" t="s">
        <v>144</v>
      </c>
      <c r="K438" s="6" t="s">
        <v>136</v>
      </c>
    </row>
    <row r="439" spans="1:11" x14ac:dyDescent="0.2">
      <c r="A439" s="22" t="s">
        <v>33</v>
      </c>
      <c r="B439" s="15" t="s">
        <v>166</v>
      </c>
      <c r="C439" s="6">
        <v>27</v>
      </c>
      <c r="D439" s="6">
        <v>103.5</v>
      </c>
      <c r="E439" s="6">
        <v>73.400000000000006</v>
      </c>
      <c r="F439" s="6">
        <v>94.6</v>
      </c>
      <c r="G439" s="6">
        <v>102.7</v>
      </c>
      <c r="H439" s="6">
        <v>85.1</v>
      </c>
      <c r="I439" s="24" t="s">
        <v>144</v>
      </c>
    </row>
    <row r="440" spans="1:11" x14ac:dyDescent="0.2">
      <c r="A440" s="22" t="s">
        <v>34</v>
      </c>
      <c r="B440" s="15" t="s">
        <v>167</v>
      </c>
      <c r="C440" s="6">
        <v>108</v>
      </c>
      <c r="D440" s="6">
        <v>90.7</v>
      </c>
      <c r="E440" s="6">
        <v>82.3</v>
      </c>
      <c r="F440" s="6">
        <v>111.8</v>
      </c>
      <c r="G440" s="6">
        <v>92.3</v>
      </c>
      <c r="H440" s="6">
        <v>81.900000000000006</v>
      </c>
      <c r="I440" s="24" t="s">
        <v>144</v>
      </c>
      <c r="K440" s="6" t="s">
        <v>136</v>
      </c>
    </row>
    <row r="441" spans="1:11" x14ac:dyDescent="0.2">
      <c r="A441" s="22" t="s">
        <v>35</v>
      </c>
      <c r="B441" s="15" t="s">
        <v>166</v>
      </c>
      <c r="C441" s="6">
        <v>23</v>
      </c>
      <c r="D441" s="6">
        <v>63.2</v>
      </c>
      <c r="E441" s="6">
        <v>74.599999999999994</v>
      </c>
      <c r="F441" s="6">
        <v>52.9</v>
      </c>
      <c r="G441" s="6">
        <v>61.6</v>
      </c>
      <c r="H441" s="6">
        <v>67.8</v>
      </c>
      <c r="I441" s="24" t="s">
        <v>144</v>
      </c>
    </row>
    <row r="442" spans="1:11" x14ac:dyDescent="0.2">
      <c r="A442" s="22" t="s">
        <v>36</v>
      </c>
      <c r="B442" s="15" t="s">
        <v>167</v>
      </c>
      <c r="C442" s="6">
        <v>55</v>
      </c>
      <c r="D442" s="6">
        <v>92.7</v>
      </c>
      <c r="E442" s="6">
        <v>89.6</v>
      </c>
      <c r="F442" s="6">
        <v>82.1</v>
      </c>
      <c r="G442" s="6">
        <v>93.5</v>
      </c>
      <c r="H442" s="6">
        <v>91.3</v>
      </c>
      <c r="I442" s="24" t="s">
        <v>144</v>
      </c>
    </row>
    <row r="443" spans="1:11" x14ac:dyDescent="0.2">
      <c r="A443" s="22" t="s">
        <v>37</v>
      </c>
      <c r="B443" s="15" t="s">
        <v>166</v>
      </c>
      <c r="C443" s="6">
        <v>12</v>
      </c>
      <c r="D443" s="6">
        <v>56.2</v>
      </c>
      <c r="E443" s="6">
        <v>47</v>
      </c>
      <c r="F443" s="6">
        <v>55.9</v>
      </c>
      <c r="G443" s="6">
        <v>47.6</v>
      </c>
      <c r="H443" s="6">
        <v>47.6</v>
      </c>
      <c r="I443" s="24" t="s">
        <v>144</v>
      </c>
    </row>
    <row r="444" spans="1:11" x14ac:dyDescent="0.2">
      <c r="A444" s="6" t="s">
        <v>14</v>
      </c>
      <c r="B444" s="6" t="s">
        <v>164</v>
      </c>
      <c r="C444" s="6">
        <v>22</v>
      </c>
      <c r="D444" s="6">
        <v>62.2</v>
      </c>
      <c r="E444" s="6">
        <v>79.599999999999994</v>
      </c>
      <c r="F444" s="6">
        <v>82.6</v>
      </c>
      <c r="G444" s="6">
        <v>67.8</v>
      </c>
      <c r="H444" s="6">
        <v>66</v>
      </c>
      <c r="I444" s="24" t="s">
        <v>144</v>
      </c>
    </row>
    <row r="445" spans="1:11" x14ac:dyDescent="0.2">
      <c r="A445" s="6" t="s">
        <v>15</v>
      </c>
      <c r="B445" s="6" t="s">
        <v>164</v>
      </c>
      <c r="C445" s="6">
        <v>25</v>
      </c>
      <c r="D445" s="6">
        <v>68.900000000000006</v>
      </c>
      <c r="E445" s="6">
        <v>93</v>
      </c>
      <c r="F445" s="6">
        <v>74.900000000000006</v>
      </c>
      <c r="G445" s="6">
        <v>70.7</v>
      </c>
      <c r="H445" s="6">
        <v>74.3</v>
      </c>
      <c r="I445" s="24" t="s">
        <v>144</v>
      </c>
    </row>
    <row r="446" spans="1:11" x14ac:dyDescent="0.2">
      <c r="A446" s="6" t="s">
        <v>16</v>
      </c>
      <c r="B446" s="6" t="s">
        <v>164</v>
      </c>
      <c r="C446" s="6">
        <v>79</v>
      </c>
      <c r="D446" s="6">
        <v>104.6</v>
      </c>
      <c r="E446" s="6">
        <v>105.5</v>
      </c>
      <c r="F446" s="6">
        <v>103.2</v>
      </c>
      <c r="G446" s="6">
        <v>102.4</v>
      </c>
      <c r="H446" s="6">
        <v>98.5</v>
      </c>
      <c r="I446" s="24" t="s">
        <v>144</v>
      </c>
    </row>
    <row r="447" spans="1:11" x14ac:dyDescent="0.2">
      <c r="A447" s="6" t="s">
        <v>17</v>
      </c>
      <c r="B447" s="6" t="s">
        <v>164</v>
      </c>
      <c r="C447" s="6">
        <v>66</v>
      </c>
      <c r="D447" s="6">
        <v>114.3</v>
      </c>
      <c r="E447" s="6">
        <v>98.3</v>
      </c>
      <c r="F447" s="6">
        <v>108.4</v>
      </c>
      <c r="G447" s="6">
        <v>104.5</v>
      </c>
      <c r="H447" s="6">
        <v>107.7</v>
      </c>
      <c r="I447" s="24" t="s">
        <v>144</v>
      </c>
    </row>
    <row r="448" spans="1:11" x14ac:dyDescent="0.2">
      <c r="A448" s="6" t="s">
        <v>58</v>
      </c>
      <c r="B448" s="6" t="s">
        <v>164</v>
      </c>
      <c r="C448" s="6" t="s">
        <v>140</v>
      </c>
      <c r="D448" s="6" t="s">
        <v>140</v>
      </c>
      <c r="E448" s="6" t="s">
        <v>140</v>
      </c>
      <c r="F448" s="6" t="s">
        <v>140</v>
      </c>
      <c r="G448" s="6" t="s">
        <v>140</v>
      </c>
      <c r="H448" s="6" t="s">
        <v>140</v>
      </c>
      <c r="I448" s="24" t="s">
        <v>144</v>
      </c>
      <c r="J448" s="10" t="s">
        <v>150</v>
      </c>
    </row>
    <row r="449" spans="1:10" x14ac:dyDescent="0.2">
      <c r="A449" s="6" t="s">
        <v>59</v>
      </c>
      <c r="B449" s="6" t="s">
        <v>164</v>
      </c>
      <c r="C449" s="6" t="s">
        <v>140</v>
      </c>
      <c r="D449" s="6" t="s">
        <v>140</v>
      </c>
      <c r="E449" s="6" t="s">
        <v>140</v>
      </c>
      <c r="F449" s="6" t="s">
        <v>140</v>
      </c>
      <c r="G449" s="6" t="s">
        <v>140</v>
      </c>
      <c r="H449" s="6" t="s">
        <v>140</v>
      </c>
      <c r="I449" s="24" t="s">
        <v>144</v>
      </c>
      <c r="J449" s="10" t="s">
        <v>150</v>
      </c>
    </row>
  </sheetData>
  <autoFilter ref="B1:B449" xr:uid="{00000000-0001-0000-0000-000000000000}"/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7"/>
  <sheetViews>
    <sheetView topLeftCell="A91" zoomScale="80" zoomScaleNormal="80" workbookViewId="0">
      <selection activeCell="B32" sqref="B32"/>
    </sheetView>
  </sheetViews>
  <sheetFormatPr baseColWidth="10" defaultColWidth="8.83203125" defaultRowHeight="15" x14ac:dyDescent="0.2"/>
  <cols>
    <col min="1" max="1" width="19.33203125" customWidth="1"/>
    <col min="2" max="2" width="10.83203125" customWidth="1"/>
  </cols>
  <sheetData>
    <row r="1" spans="1:5" x14ac:dyDescent="0.2">
      <c r="A1" t="s">
        <v>0</v>
      </c>
      <c r="B1" t="s">
        <v>13</v>
      </c>
      <c r="D1" t="s">
        <v>70</v>
      </c>
      <c r="E1" t="s">
        <v>93</v>
      </c>
    </row>
    <row r="2" spans="1:5" x14ac:dyDescent="0.2">
      <c r="A2" s="3" t="s">
        <v>38</v>
      </c>
      <c r="B2" t="s">
        <v>77</v>
      </c>
      <c r="D2" s="12" t="s">
        <v>105</v>
      </c>
    </row>
    <row r="3" spans="1:5" x14ac:dyDescent="0.2">
      <c r="A3" s="3" t="s">
        <v>39</v>
      </c>
      <c r="B3" t="s">
        <v>77</v>
      </c>
      <c r="D3" s="12" t="s">
        <v>105</v>
      </c>
    </row>
    <row r="4" spans="1:5" x14ac:dyDescent="0.2">
      <c r="A4" s="3" t="s">
        <v>40</v>
      </c>
      <c r="B4" t="s">
        <v>77</v>
      </c>
      <c r="D4" s="12" t="s">
        <v>104</v>
      </c>
    </row>
    <row r="5" spans="1:5" x14ac:dyDescent="0.2">
      <c r="A5" s="3" t="s">
        <v>41</v>
      </c>
      <c r="B5" t="s">
        <v>77</v>
      </c>
      <c r="D5" s="12" t="s">
        <v>104</v>
      </c>
    </row>
    <row r="6" spans="1:5" x14ac:dyDescent="0.2">
      <c r="A6" s="3" t="s">
        <v>42</v>
      </c>
      <c r="B6" t="s">
        <v>77</v>
      </c>
      <c r="D6" s="12" t="s">
        <v>104</v>
      </c>
    </row>
    <row r="7" spans="1:5" x14ac:dyDescent="0.2">
      <c r="A7" s="3" t="s">
        <v>43</v>
      </c>
      <c r="B7" t="s">
        <v>77</v>
      </c>
      <c r="D7" s="12" t="s">
        <v>104</v>
      </c>
    </row>
    <row r="8" spans="1:5" x14ac:dyDescent="0.2">
      <c r="A8" s="3" t="s">
        <v>44</v>
      </c>
      <c r="B8" t="s">
        <v>77</v>
      </c>
      <c r="D8" s="12" t="s">
        <v>104</v>
      </c>
    </row>
    <row r="9" spans="1:5" x14ac:dyDescent="0.2">
      <c r="A9" s="3" t="s">
        <v>45</v>
      </c>
      <c r="B9" t="s">
        <v>77</v>
      </c>
      <c r="D9" s="12" t="s">
        <v>104</v>
      </c>
    </row>
    <row r="10" spans="1:5" x14ac:dyDescent="0.2">
      <c r="A10" s="3" t="s">
        <v>46</v>
      </c>
      <c r="B10" t="s">
        <v>77</v>
      </c>
      <c r="D10" s="12" t="s">
        <v>104</v>
      </c>
    </row>
    <row r="11" spans="1:5" x14ac:dyDescent="0.2">
      <c r="A11" s="3" t="s">
        <v>47</v>
      </c>
      <c r="B11" t="s">
        <v>77</v>
      </c>
      <c r="D11" s="12" t="s">
        <v>104</v>
      </c>
    </row>
    <row r="12" spans="1:5" x14ac:dyDescent="0.2">
      <c r="A12" s="3" t="s">
        <v>48</v>
      </c>
      <c r="B12" t="s">
        <v>77</v>
      </c>
      <c r="D12" s="12" t="s">
        <v>104</v>
      </c>
      <c r="E12">
        <v>5</v>
      </c>
    </row>
    <row r="13" spans="1:5" x14ac:dyDescent="0.2">
      <c r="A13" s="3" t="s">
        <v>49</v>
      </c>
      <c r="B13" t="s">
        <v>77</v>
      </c>
      <c r="D13" s="12" t="s">
        <v>104</v>
      </c>
    </row>
    <row r="14" spans="1:5" x14ac:dyDescent="0.2">
      <c r="A14" s="3" t="s">
        <v>50</v>
      </c>
      <c r="B14" t="s">
        <v>77</v>
      </c>
      <c r="D14" s="12" t="s">
        <v>104</v>
      </c>
    </row>
    <row r="15" spans="1:5" x14ac:dyDescent="0.2">
      <c r="A15" s="3" t="s">
        <v>51</v>
      </c>
      <c r="B15" t="s">
        <v>77</v>
      </c>
      <c r="D15" s="12" t="s">
        <v>104</v>
      </c>
    </row>
    <row r="16" spans="1:5" x14ac:dyDescent="0.2">
      <c r="A16" s="3" t="s">
        <v>52</v>
      </c>
      <c r="B16" t="s">
        <v>77</v>
      </c>
      <c r="D16" s="12" t="s">
        <v>104</v>
      </c>
    </row>
    <row r="17" spans="1:5" x14ac:dyDescent="0.2">
      <c r="A17" s="3" t="s">
        <v>53</v>
      </c>
      <c r="B17" t="s">
        <v>77</v>
      </c>
      <c r="D17" s="12" t="s">
        <v>104</v>
      </c>
    </row>
    <row r="18" spans="1:5" x14ac:dyDescent="0.2">
      <c r="A18" s="3" t="s">
        <v>54</v>
      </c>
      <c r="B18" t="s">
        <v>77</v>
      </c>
      <c r="D18" s="12" t="s">
        <v>104</v>
      </c>
    </row>
    <row r="19" spans="1:5" x14ac:dyDescent="0.2">
      <c r="A19" s="3" t="s">
        <v>55</v>
      </c>
      <c r="B19" t="s">
        <v>77</v>
      </c>
      <c r="D19" s="12" t="s">
        <v>104</v>
      </c>
    </row>
    <row r="20" spans="1:5" x14ac:dyDescent="0.2">
      <c r="A20" s="3" t="s">
        <v>56</v>
      </c>
      <c r="B20" t="s">
        <v>77</v>
      </c>
      <c r="D20" s="12" t="s">
        <v>104</v>
      </c>
    </row>
    <row r="21" spans="1:5" x14ac:dyDescent="0.2">
      <c r="A21" s="3" t="s">
        <v>57</v>
      </c>
      <c r="B21" t="s">
        <v>77</v>
      </c>
      <c r="D21" s="12" t="s">
        <v>104</v>
      </c>
    </row>
    <row r="22" spans="1:5" x14ac:dyDescent="0.2">
      <c r="A22" s="1" t="s">
        <v>3</v>
      </c>
      <c r="B22" t="s">
        <v>76</v>
      </c>
      <c r="D22" s="12" t="s">
        <v>104</v>
      </c>
      <c r="E22">
        <v>3.5</v>
      </c>
    </row>
    <row r="23" spans="1:5" x14ac:dyDescent="0.2">
      <c r="A23" s="1" t="s">
        <v>4</v>
      </c>
      <c r="B23" t="s">
        <v>76</v>
      </c>
      <c r="D23" s="12" t="s">
        <v>104</v>
      </c>
      <c r="E23">
        <v>3.5</v>
      </c>
    </row>
    <row r="24" spans="1:5" x14ac:dyDescent="0.2">
      <c r="A24" s="1" t="s">
        <v>5</v>
      </c>
      <c r="B24" t="s">
        <v>76</v>
      </c>
      <c r="D24" s="12" t="s">
        <v>104</v>
      </c>
    </row>
    <row r="25" spans="1:5" x14ac:dyDescent="0.2">
      <c r="A25" s="1" t="s">
        <v>6</v>
      </c>
      <c r="B25" t="s">
        <v>76</v>
      </c>
      <c r="D25" s="12" t="s">
        <v>104</v>
      </c>
      <c r="E25">
        <v>4</v>
      </c>
    </row>
    <row r="26" spans="1:5" x14ac:dyDescent="0.2">
      <c r="A26" s="1" t="s">
        <v>7</v>
      </c>
      <c r="B26" t="s">
        <v>76</v>
      </c>
      <c r="D26" s="12" t="s">
        <v>104</v>
      </c>
      <c r="E26">
        <v>5</v>
      </c>
    </row>
    <row r="27" spans="1:5" x14ac:dyDescent="0.2">
      <c r="A27" s="1" t="s">
        <v>8</v>
      </c>
      <c r="B27" t="s">
        <v>76</v>
      </c>
      <c r="D27" s="12" t="s">
        <v>104</v>
      </c>
      <c r="E27">
        <v>5</v>
      </c>
    </row>
    <row r="28" spans="1:5" x14ac:dyDescent="0.2">
      <c r="A28" s="1" t="s">
        <v>9</v>
      </c>
      <c r="B28" t="s">
        <v>76</v>
      </c>
      <c r="D28" s="12" t="s">
        <v>104</v>
      </c>
      <c r="E28">
        <v>5</v>
      </c>
    </row>
    <row r="29" spans="1:5" x14ac:dyDescent="0.2">
      <c r="A29" s="1" t="s">
        <v>10</v>
      </c>
      <c r="B29" t="s">
        <v>76</v>
      </c>
      <c r="D29" s="12" t="s">
        <v>104</v>
      </c>
      <c r="E29">
        <v>5</v>
      </c>
    </row>
    <row r="30" spans="1:5" x14ac:dyDescent="0.2">
      <c r="A30" s="1" t="s">
        <v>11</v>
      </c>
      <c r="B30" t="s">
        <v>76</v>
      </c>
      <c r="D30" s="12" t="s">
        <v>104</v>
      </c>
      <c r="E30">
        <v>5</v>
      </c>
    </row>
    <row r="31" spans="1:5" x14ac:dyDescent="0.2">
      <c r="A31" s="1" t="s">
        <v>12</v>
      </c>
      <c r="B31" t="s">
        <v>76</v>
      </c>
      <c r="D31" s="12" t="s">
        <v>104</v>
      </c>
      <c r="E31">
        <v>5</v>
      </c>
    </row>
    <row r="32" spans="1:5" x14ac:dyDescent="0.2">
      <c r="A32" s="2" t="s">
        <v>18</v>
      </c>
      <c r="B32" t="s">
        <v>157</v>
      </c>
      <c r="D32" s="12" t="s">
        <v>104</v>
      </c>
      <c r="E32">
        <v>5</v>
      </c>
    </row>
    <row r="33" spans="1:5" x14ac:dyDescent="0.2">
      <c r="A33" s="2" t="s">
        <v>19</v>
      </c>
      <c r="B33" t="s">
        <v>157</v>
      </c>
      <c r="D33" s="12" t="s">
        <v>104</v>
      </c>
      <c r="E33">
        <v>5</v>
      </c>
    </row>
    <row r="34" spans="1:5" x14ac:dyDescent="0.2">
      <c r="A34" s="2" t="s">
        <v>20</v>
      </c>
      <c r="B34" t="s">
        <v>157</v>
      </c>
      <c r="D34" s="12" t="s">
        <v>104</v>
      </c>
      <c r="E34">
        <v>5</v>
      </c>
    </row>
    <row r="35" spans="1:5" x14ac:dyDescent="0.2">
      <c r="A35" s="2" t="s">
        <v>21</v>
      </c>
      <c r="B35" t="s">
        <v>157</v>
      </c>
      <c r="D35" s="12" t="s">
        <v>104</v>
      </c>
      <c r="E35">
        <v>5</v>
      </c>
    </row>
    <row r="36" spans="1:5" x14ac:dyDescent="0.2">
      <c r="A36" s="2" t="s">
        <v>22</v>
      </c>
      <c r="B36" t="s">
        <v>157</v>
      </c>
      <c r="D36" s="12" t="s">
        <v>104</v>
      </c>
      <c r="E36">
        <v>5</v>
      </c>
    </row>
    <row r="37" spans="1:5" x14ac:dyDescent="0.2">
      <c r="A37" s="2" t="s">
        <v>23</v>
      </c>
      <c r="B37" t="s">
        <v>157</v>
      </c>
      <c r="D37" s="12" t="s">
        <v>104</v>
      </c>
      <c r="E37">
        <v>5</v>
      </c>
    </row>
    <row r="38" spans="1:5" x14ac:dyDescent="0.2">
      <c r="A38" s="2" t="s">
        <v>24</v>
      </c>
      <c r="B38" t="s">
        <v>157</v>
      </c>
      <c r="D38" s="12" t="s">
        <v>104</v>
      </c>
      <c r="E38">
        <v>4</v>
      </c>
    </row>
    <row r="39" spans="1:5" x14ac:dyDescent="0.2">
      <c r="A39" s="2" t="s">
        <v>25</v>
      </c>
      <c r="B39" t="s">
        <v>157</v>
      </c>
      <c r="D39" s="12" t="s">
        <v>104</v>
      </c>
      <c r="E39">
        <v>4</v>
      </c>
    </row>
    <row r="40" spans="1:5" x14ac:dyDescent="0.2">
      <c r="A40" s="2" t="s">
        <v>26</v>
      </c>
      <c r="B40" t="s">
        <v>157</v>
      </c>
      <c r="D40" s="12" t="s">
        <v>104</v>
      </c>
      <c r="E40">
        <v>4</v>
      </c>
    </row>
    <row r="41" spans="1:5" x14ac:dyDescent="0.2">
      <c r="A41" s="2" t="s">
        <v>27</v>
      </c>
      <c r="B41" t="s">
        <v>157</v>
      </c>
      <c r="D41" s="12" t="s">
        <v>104</v>
      </c>
      <c r="E41">
        <v>4</v>
      </c>
    </row>
    <row r="42" spans="1:5" x14ac:dyDescent="0.2">
      <c r="A42" s="2" t="s">
        <v>28</v>
      </c>
      <c r="B42" t="s">
        <v>157</v>
      </c>
      <c r="D42" s="12" t="s">
        <v>104</v>
      </c>
      <c r="E42">
        <v>4</v>
      </c>
    </row>
    <row r="43" spans="1:5" x14ac:dyDescent="0.2">
      <c r="A43" s="2" t="s">
        <v>29</v>
      </c>
      <c r="B43" t="s">
        <v>157</v>
      </c>
      <c r="D43" s="12" t="s">
        <v>104</v>
      </c>
      <c r="E43">
        <v>4</v>
      </c>
    </row>
    <row r="44" spans="1:5" x14ac:dyDescent="0.2">
      <c r="A44" s="2" t="s">
        <v>30</v>
      </c>
      <c r="B44" t="s">
        <v>157</v>
      </c>
      <c r="D44" s="12" t="s">
        <v>104</v>
      </c>
      <c r="E44">
        <v>5</v>
      </c>
    </row>
    <row r="45" spans="1:5" x14ac:dyDescent="0.2">
      <c r="A45" s="2" t="s">
        <v>31</v>
      </c>
      <c r="B45" t="s">
        <v>157</v>
      </c>
      <c r="D45" s="12" t="s">
        <v>104</v>
      </c>
      <c r="E45">
        <v>5</v>
      </c>
    </row>
    <row r="46" spans="1:5" x14ac:dyDescent="0.2">
      <c r="A46" s="2" t="s">
        <v>32</v>
      </c>
      <c r="B46" t="s">
        <v>157</v>
      </c>
      <c r="D46" s="12" t="s">
        <v>104</v>
      </c>
    </row>
    <row r="47" spans="1:5" x14ac:dyDescent="0.2">
      <c r="A47" s="2" t="s">
        <v>33</v>
      </c>
      <c r="B47" t="s">
        <v>157</v>
      </c>
      <c r="D47" s="12" t="s">
        <v>104</v>
      </c>
    </row>
    <row r="48" spans="1:5" x14ac:dyDescent="0.2">
      <c r="A48" s="2" t="s">
        <v>34</v>
      </c>
      <c r="B48" t="s">
        <v>157</v>
      </c>
      <c r="D48" s="12" t="s">
        <v>104</v>
      </c>
    </row>
    <row r="49" spans="1:5" x14ac:dyDescent="0.2">
      <c r="A49" s="2" t="s">
        <v>35</v>
      </c>
      <c r="B49" t="s">
        <v>157</v>
      </c>
      <c r="D49" s="12" t="s">
        <v>104</v>
      </c>
      <c r="E49">
        <v>5</v>
      </c>
    </row>
    <row r="50" spans="1:5" x14ac:dyDescent="0.2">
      <c r="A50" s="2" t="s">
        <v>36</v>
      </c>
      <c r="B50" t="s">
        <v>157</v>
      </c>
      <c r="D50" s="12" t="s">
        <v>104</v>
      </c>
      <c r="E50">
        <v>5</v>
      </c>
    </row>
    <row r="51" spans="1:5" x14ac:dyDescent="0.2">
      <c r="A51" s="2" t="s">
        <v>37</v>
      </c>
      <c r="B51" t="s">
        <v>157</v>
      </c>
      <c r="D51" s="12" t="s">
        <v>104</v>
      </c>
      <c r="E51">
        <v>5</v>
      </c>
    </row>
    <row r="52" spans="1:5" x14ac:dyDescent="0.2">
      <c r="A52" t="s">
        <v>14</v>
      </c>
      <c r="B52" t="s">
        <v>81</v>
      </c>
      <c r="D52" s="12" t="s">
        <v>104</v>
      </c>
    </row>
    <row r="53" spans="1:5" x14ac:dyDescent="0.2">
      <c r="A53" t="s">
        <v>15</v>
      </c>
      <c r="B53" t="s">
        <v>81</v>
      </c>
      <c r="D53" s="12" t="s">
        <v>104</v>
      </c>
      <c r="E53">
        <v>3</v>
      </c>
    </row>
    <row r="54" spans="1:5" x14ac:dyDescent="0.2">
      <c r="A54" t="s">
        <v>16</v>
      </c>
      <c r="B54" t="s">
        <v>81</v>
      </c>
      <c r="D54" s="12" t="s">
        <v>104</v>
      </c>
      <c r="E54">
        <v>3</v>
      </c>
    </row>
    <row r="55" spans="1:5" x14ac:dyDescent="0.2">
      <c r="A55" t="s">
        <v>17</v>
      </c>
      <c r="B55" t="s">
        <v>81</v>
      </c>
      <c r="D55" s="12" t="s">
        <v>104</v>
      </c>
      <c r="E55">
        <v>3</v>
      </c>
    </row>
    <row r="56" spans="1:5" x14ac:dyDescent="0.2">
      <c r="A56" t="s">
        <v>58</v>
      </c>
      <c r="B56" t="s">
        <v>81</v>
      </c>
      <c r="D56" s="12" t="s">
        <v>104</v>
      </c>
      <c r="E56">
        <v>4</v>
      </c>
    </row>
    <row r="57" spans="1:5" x14ac:dyDescent="0.2">
      <c r="A57" t="s">
        <v>59</v>
      </c>
      <c r="B57" t="s">
        <v>81</v>
      </c>
      <c r="D57" s="12" t="s">
        <v>104</v>
      </c>
      <c r="E57">
        <v>4</v>
      </c>
    </row>
    <row r="58" spans="1:5" x14ac:dyDescent="0.2">
      <c r="A58" s="3" t="s">
        <v>38</v>
      </c>
      <c r="B58" t="s">
        <v>77</v>
      </c>
      <c r="D58" s="12" t="s">
        <v>107</v>
      </c>
    </row>
    <row r="59" spans="1:5" x14ac:dyDescent="0.2">
      <c r="A59" s="3" t="s">
        <v>39</v>
      </c>
      <c r="B59" t="s">
        <v>77</v>
      </c>
      <c r="D59" s="12" t="s">
        <v>108</v>
      </c>
    </row>
    <row r="60" spans="1:5" x14ac:dyDescent="0.2">
      <c r="A60" s="3" t="s">
        <v>40</v>
      </c>
      <c r="B60" t="s">
        <v>77</v>
      </c>
      <c r="D60" s="12" t="s">
        <v>106</v>
      </c>
    </row>
    <row r="61" spans="1:5" x14ac:dyDescent="0.2">
      <c r="A61" s="3" t="s">
        <v>41</v>
      </c>
      <c r="B61" t="s">
        <v>77</v>
      </c>
      <c r="D61" s="12" t="s">
        <v>106</v>
      </c>
    </row>
    <row r="62" spans="1:5" x14ac:dyDescent="0.2">
      <c r="A62" s="3" t="s">
        <v>42</v>
      </c>
      <c r="B62" t="s">
        <v>77</v>
      </c>
      <c r="D62" s="12" t="s">
        <v>106</v>
      </c>
    </row>
    <row r="63" spans="1:5" x14ac:dyDescent="0.2">
      <c r="A63" s="3" t="s">
        <v>43</v>
      </c>
      <c r="B63" t="s">
        <v>77</v>
      </c>
      <c r="D63" s="12" t="s">
        <v>106</v>
      </c>
    </row>
    <row r="64" spans="1:5" x14ac:dyDescent="0.2">
      <c r="A64" s="3" t="s">
        <v>44</v>
      </c>
      <c r="B64" t="s">
        <v>77</v>
      </c>
      <c r="D64" s="12" t="s">
        <v>106</v>
      </c>
    </row>
    <row r="65" spans="1:5" x14ac:dyDescent="0.2">
      <c r="A65" s="3" t="s">
        <v>45</v>
      </c>
      <c r="B65" t="s">
        <v>77</v>
      </c>
      <c r="D65" s="12" t="s">
        <v>106</v>
      </c>
    </row>
    <row r="66" spans="1:5" x14ac:dyDescent="0.2">
      <c r="A66" s="3" t="s">
        <v>46</v>
      </c>
      <c r="B66" t="s">
        <v>77</v>
      </c>
      <c r="D66" s="12" t="s">
        <v>106</v>
      </c>
    </row>
    <row r="67" spans="1:5" x14ac:dyDescent="0.2">
      <c r="A67" s="3" t="s">
        <v>47</v>
      </c>
      <c r="B67" t="s">
        <v>77</v>
      </c>
      <c r="D67" s="12" t="s">
        <v>106</v>
      </c>
    </row>
    <row r="68" spans="1:5" x14ac:dyDescent="0.2">
      <c r="A68" s="3" t="s">
        <v>48</v>
      </c>
      <c r="B68" t="s">
        <v>77</v>
      </c>
      <c r="D68" s="12" t="s">
        <v>106</v>
      </c>
    </row>
    <row r="69" spans="1:5" x14ac:dyDescent="0.2">
      <c r="A69" s="3" t="s">
        <v>49</v>
      </c>
      <c r="B69" t="s">
        <v>77</v>
      </c>
      <c r="D69" s="12" t="s">
        <v>106</v>
      </c>
    </row>
    <row r="70" spans="1:5" x14ac:dyDescent="0.2">
      <c r="A70" s="3" t="s">
        <v>50</v>
      </c>
      <c r="B70" t="s">
        <v>77</v>
      </c>
      <c r="D70" s="12" t="s">
        <v>106</v>
      </c>
      <c r="E70">
        <v>8</v>
      </c>
    </row>
    <row r="71" spans="1:5" x14ac:dyDescent="0.2">
      <c r="A71" s="3" t="s">
        <v>51</v>
      </c>
      <c r="B71" t="s">
        <v>77</v>
      </c>
      <c r="D71" s="12" t="s">
        <v>106</v>
      </c>
    </row>
    <row r="72" spans="1:5" x14ac:dyDescent="0.2">
      <c r="A72" s="3" t="s">
        <v>52</v>
      </c>
      <c r="B72" t="s">
        <v>77</v>
      </c>
      <c r="D72" s="12" t="s">
        <v>106</v>
      </c>
    </row>
    <row r="73" spans="1:5" x14ac:dyDescent="0.2">
      <c r="A73" s="3" t="s">
        <v>53</v>
      </c>
      <c r="B73" t="s">
        <v>77</v>
      </c>
      <c r="D73" s="12" t="s">
        <v>106</v>
      </c>
    </row>
    <row r="74" spans="1:5" x14ac:dyDescent="0.2">
      <c r="A74" s="3" t="s">
        <v>54</v>
      </c>
      <c r="B74" t="s">
        <v>77</v>
      </c>
      <c r="D74" s="12" t="s">
        <v>106</v>
      </c>
    </row>
    <row r="75" spans="1:5" x14ac:dyDescent="0.2">
      <c r="A75" s="3" t="s">
        <v>55</v>
      </c>
      <c r="B75" t="s">
        <v>77</v>
      </c>
      <c r="D75" s="12" t="s">
        <v>106</v>
      </c>
    </row>
    <row r="76" spans="1:5" x14ac:dyDescent="0.2">
      <c r="A76" s="3" t="s">
        <v>56</v>
      </c>
      <c r="B76" t="s">
        <v>77</v>
      </c>
      <c r="D76" s="12" t="s">
        <v>106</v>
      </c>
    </row>
    <row r="77" spans="1:5" x14ac:dyDescent="0.2">
      <c r="A77" s="3" t="s">
        <v>57</v>
      </c>
      <c r="B77" t="s">
        <v>77</v>
      </c>
      <c r="D77" s="12" t="s">
        <v>106</v>
      </c>
    </row>
    <row r="78" spans="1:5" x14ac:dyDescent="0.2">
      <c r="A78" s="1" t="s">
        <v>3</v>
      </c>
      <c r="B78" t="s">
        <v>76</v>
      </c>
      <c r="D78" s="12" t="s">
        <v>106</v>
      </c>
      <c r="E78">
        <v>6</v>
      </c>
    </row>
    <row r="79" spans="1:5" x14ac:dyDescent="0.2">
      <c r="A79" s="1" t="s">
        <v>4</v>
      </c>
      <c r="B79" t="s">
        <v>76</v>
      </c>
      <c r="D79" s="12" t="s">
        <v>106</v>
      </c>
    </row>
    <row r="80" spans="1:5" x14ac:dyDescent="0.2">
      <c r="A80" s="1" t="s">
        <v>5</v>
      </c>
      <c r="B80" t="s">
        <v>76</v>
      </c>
      <c r="D80" s="12" t="s">
        <v>106</v>
      </c>
    </row>
    <row r="81" spans="1:5" x14ac:dyDescent="0.2">
      <c r="A81" s="1" t="s">
        <v>6</v>
      </c>
      <c r="B81" t="s">
        <v>76</v>
      </c>
      <c r="D81" s="12" t="s">
        <v>106</v>
      </c>
    </row>
    <row r="82" spans="1:5" x14ac:dyDescent="0.2">
      <c r="A82" s="1" t="s">
        <v>7</v>
      </c>
      <c r="B82" t="s">
        <v>76</v>
      </c>
      <c r="D82" s="12" t="s">
        <v>106</v>
      </c>
      <c r="E82">
        <v>8</v>
      </c>
    </row>
    <row r="83" spans="1:5" x14ac:dyDescent="0.2">
      <c r="A83" s="1" t="s">
        <v>8</v>
      </c>
      <c r="B83" t="s">
        <v>76</v>
      </c>
      <c r="D83" s="12" t="s">
        <v>106</v>
      </c>
    </row>
    <row r="84" spans="1:5" x14ac:dyDescent="0.2">
      <c r="A84" s="1" t="s">
        <v>9</v>
      </c>
      <c r="B84" t="s">
        <v>76</v>
      </c>
      <c r="D84" s="12" t="s">
        <v>106</v>
      </c>
    </row>
    <row r="85" spans="1:5" x14ac:dyDescent="0.2">
      <c r="A85" s="1" t="s">
        <v>10</v>
      </c>
      <c r="B85" t="s">
        <v>76</v>
      </c>
      <c r="D85" s="12" t="s">
        <v>106</v>
      </c>
      <c r="E85">
        <v>10</v>
      </c>
    </row>
    <row r="86" spans="1:5" x14ac:dyDescent="0.2">
      <c r="A86" s="1" t="s">
        <v>11</v>
      </c>
      <c r="B86" t="s">
        <v>76</v>
      </c>
      <c r="D86" s="12" t="s">
        <v>106</v>
      </c>
    </row>
    <row r="87" spans="1:5" x14ac:dyDescent="0.2">
      <c r="A87" s="1" t="s">
        <v>12</v>
      </c>
      <c r="B87" t="s">
        <v>76</v>
      </c>
      <c r="D87" s="12" t="s">
        <v>106</v>
      </c>
    </row>
    <row r="88" spans="1:5" x14ac:dyDescent="0.2">
      <c r="A88" s="2" t="s">
        <v>18</v>
      </c>
      <c r="B88" t="s">
        <v>157</v>
      </c>
      <c r="D88" s="12" t="s">
        <v>106</v>
      </c>
    </row>
    <row r="89" spans="1:5" x14ac:dyDescent="0.2">
      <c r="A89" s="2" t="s">
        <v>19</v>
      </c>
      <c r="B89" t="s">
        <v>157</v>
      </c>
      <c r="D89" s="12" t="s">
        <v>106</v>
      </c>
    </row>
    <row r="90" spans="1:5" x14ac:dyDescent="0.2">
      <c r="A90" s="2" t="s">
        <v>20</v>
      </c>
      <c r="B90" t="s">
        <v>157</v>
      </c>
      <c r="D90" s="12" t="s">
        <v>106</v>
      </c>
    </row>
    <row r="91" spans="1:5" x14ac:dyDescent="0.2">
      <c r="A91" s="2" t="s">
        <v>21</v>
      </c>
      <c r="B91" t="s">
        <v>157</v>
      </c>
      <c r="D91" s="12" t="s">
        <v>106</v>
      </c>
    </row>
    <row r="92" spans="1:5" x14ac:dyDescent="0.2">
      <c r="A92" s="2" t="s">
        <v>22</v>
      </c>
      <c r="B92" t="s">
        <v>157</v>
      </c>
      <c r="D92" s="12" t="s">
        <v>106</v>
      </c>
    </row>
    <row r="93" spans="1:5" x14ac:dyDescent="0.2">
      <c r="A93" s="2" t="s">
        <v>23</v>
      </c>
      <c r="B93" t="s">
        <v>157</v>
      </c>
      <c r="D93" s="12" t="s">
        <v>106</v>
      </c>
    </row>
    <row r="94" spans="1:5" x14ac:dyDescent="0.2">
      <c r="A94" s="2" t="s">
        <v>24</v>
      </c>
      <c r="B94" t="s">
        <v>157</v>
      </c>
      <c r="D94" s="12" t="s">
        <v>106</v>
      </c>
      <c r="E94">
        <v>8</v>
      </c>
    </row>
    <row r="95" spans="1:5" x14ac:dyDescent="0.2">
      <c r="A95" s="2" t="s">
        <v>25</v>
      </c>
      <c r="B95" t="s">
        <v>157</v>
      </c>
      <c r="D95" s="12" t="s">
        <v>106</v>
      </c>
    </row>
    <row r="96" spans="1:5" x14ac:dyDescent="0.2">
      <c r="A96" s="2" t="s">
        <v>26</v>
      </c>
      <c r="B96" t="s">
        <v>157</v>
      </c>
      <c r="D96" s="12" t="s">
        <v>106</v>
      </c>
    </row>
    <row r="97" spans="1:5" x14ac:dyDescent="0.2">
      <c r="A97" s="2" t="s">
        <v>27</v>
      </c>
      <c r="B97" t="s">
        <v>157</v>
      </c>
      <c r="D97" s="12" t="s">
        <v>106</v>
      </c>
    </row>
    <row r="98" spans="1:5" x14ac:dyDescent="0.2">
      <c r="A98" s="2" t="s">
        <v>28</v>
      </c>
      <c r="B98" t="s">
        <v>157</v>
      </c>
      <c r="D98" s="12" t="s">
        <v>106</v>
      </c>
    </row>
    <row r="99" spans="1:5" x14ac:dyDescent="0.2">
      <c r="A99" s="2" t="s">
        <v>29</v>
      </c>
      <c r="B99" t="s">
        <v>157</v>
      </c>
      <c r="D99" s="12" t="s">
        <v>106</v>
      </c>
    </row>
    <row r="100" spans="1:5" x14ac:dyDescent="0.2">
      <c r="A100" s="2" t="s">
        <v>30</v>
      </c>
      <c r="B100" t="s">
        <v>157</v>
      </c>
      <c r="D100" s="12" t="s">
        <v>106</v>
      </c>
    </row>
    <row r="101" spans="1:5" x14ac:dyDescent="0.2">
      <c r="A101" s="2" t="s">
        <v>31</v>
      </c>
      <c r="B101" t="s">
        <v>157</v>
      </c>
      <c r="D101" s="12" t="s">
        <v>106</v>
      </c>
    </row>
    <row r="102" spans="1:5" x14ac:dyDescent="0.2">
      <c r="A102" s="2" t="s">
        <v>32</v>
      </c>
      <c r="B102" t="s">
        <v>157</v>
      </c>
      <c r="D102" s="12" t="s">
        <v>106</v>
      </c>
    </row>
    <row r="103" spans="1:5" x14ac:dyDescent="0.2">
      <c r="A103" s="2" t="s">
        <v>33</v>
      </c>
      <c r="B103" t="s">
        <v>157</v>
      </c>
      <c r="D103" s="12" t="s">
        <v>106</v>
      </c>
    </row>
    <row r="104" spans="1:5" x14ac:dyDescent="0.2">
      <c r="A104" s="2" t="s">
        <v>34</v>
      </c>
      <c r="B104" t="s">
        <v>157</v>
      </c>
      <c r="D104" s="12" t="s">
        <v>106</v>
      </c>
      <c r="E104">
        <v>9</v>
      </c>
    </row>
    <row r="105" spans="1:5" x14ac:dyDescent="0.2">
      <c r="A105" s="2" t="s">
        <v>35</v>
      </c>
      <c r="B105" t="s">
        <v>157</v>
      </c>
      <c r="D105" s="12" t="s">
        <v>106</v>
      </c>
    </row>
    <row r="106" spans="1:5" x14ac:dyDescent="0.2">
      <c r="A106" s="2" t="s">
        <v>36</v>
      </c>
      <c r="B106" t="s">
        <v>157</v>
      </c>
      <c r="D106" s="12" t="s">
        <v>106</v>
      </c>
    </row>
    <row r="107" spans="1:5" x14ac:dyDescent="0.2">
      <c r="A107" s="2" t="s">
        <v>37</v>
      </c>
      <c r="B107" t="s">
        <v>157</v>
      </c>
      <c r="D107" s="12" t="s">
        <v>106</v>
      </c>
    </row>
    <row r="108" spans="1:5" x14ac:dyDescent="0.2">
      <c r="A108" t="s">
        <v>14</v>
      </c>
      <c r="B108" t="s">
        <v>81</v>
      </c>
      <c r="D108" s="12" t="s">
        <v>106</v>
      </c>
    </row>
    <row r="109" spans="1:5" x14ac:dyDescent="0.2">
      <c r="A109" t="s">
        <v>15</v>
      </c>
      <c r="B109" t="s">
        <v>81</v>
      </c>
      <c r="D109" s="12" t="s">
        <v>106</v>
      </c>
    </row>
    <row r="110" spans="1:5" x14ac:dyDescent="0.2">
      <c r="A110" t="s">
        <v>16</v>
      </c>
      <c r="B110" t="s">
        <v>81</v>
      </c>
      <c r="D110" s="12" t="s">
        <v>106</v>
      </c>
    </row>
    <row r="111" spans="1:5" x14ac:dyDescent="0.2">
      <c r="A111" t="s">
        <v>17</v>
      </c>
      <c r="B111" t="s">
        <v>81</v>
      </c>
      <c r="D111" s="12" t="s">
        <v>106</v>
      </c>
    </row>
    <row r="112" spans="1:5" x14ac:dyDescent="0.2">
      <c r="A112" t="s">
        <v>58</v>
      </c>
      <c r="B112" t="s">
        <v>81</v>
      </c>
      <c r="D112" s="12" t="s">
        <v>106</v>
      </c>
    </row>
    <row r="113" spans="1:5" x14ac:dyDescent="0.2">
      <c r="A113" t="s">
        <v>59</v>
      </c>
      <c r="B113" t="s">
        <v>81</v>
      </c>
      <c r="D113" s="12" t="s">
        <v>106</v>
      </c>
    </row>
    <row r="114" spans="1:5" x14ac:dyDescent="0.2">
      <c r="A114" s="3" t="s">
        <v>38</v>
      </c>
      <c r="B114" t="s">
        <v>77</v>
      </c>
      <c r="D114" s="12" t="s">
        <v>110</v>
      </c>
    </row>
    <row r="115" spans="1:5" x14ac:dyDescent="0.2">
      <c r="A115" s="3" t="s">
        <v>39</v>
      </c>
      <c r="B115" t="s">
        <v>77</v>
      </c>
      <c r="D115" s="12" t="s">
        <v>110</v>
      </c>
    </row>
    <row r="116" spans="1:5" x14ac:dyDescent="0.2">
      <c r="A116" s="3" t="s">
        <v>40</v>
      </c>
      <c r="B116" t="s">
        <v>77</v>
      </c>
      <c r="D116" s="12" t="s">
        <v>109</v>
      </c>
      <c r="E116">
        <v>9</v>
      </c>
    </row>
    <row r="117" spans="1:5" x14ac:dyDescent="0.2">
      <c r="A117" s="3" t="s">
        <v>41</v>
      </c>
      <c r="B117" t="s">
        <v>77</v>
      </c>
      <c r="D117" s="12" t="s">
        <v>109</v>
      </c>
    </row>
    <row r="118" spans="1:5" x14ac:dyDescent="0.2">
      <c r="A118" s="3" t="s">
        <v>42</v>
      </c>
      <c r="B118" t="s">
        <v>77</v>
      </c>
      <c r="D118" s="12" t="s">
        <v>109</v>
      </c>
    </row>
    <row r="119" spans="1:5" x14ac:dyDescent="0.2">
      <c r="A119" s="3" t="s">
        <v>43</v>
      </c>
      <c r="B119" t="s">
        <v>77</v>
      </c>
      <c r="D119" s="12" t="s">
        <v>109</v>
      </c>
    </row>
    <row r="120" spans="1:5" x14ac:dyDescent="0.2">
      <c r="A120" s="3" t="s">
        <v>44</v>
      </c>
      <c r="B120" t="s">
        <v>77</v>
      </c>
      <c r="D120" s="12" t="s">
        <v>109</v>
      </c>
    </row>
    <row r="121" spans="1:5" x14ac:dyDescent="0.2">
      <c r="A121" s="3" t="s">
        <v>45</v>
      </c>
      <c r="B121" t="s">
        <v>77</v>
      </c>
      <c r="D121" s="12" t="s">
        <v>109</v>
      </c>
    </row>
    <row r="122" spans="1:5" x14ac:dyDescent="0.2">
      <c r="A122" s="3" t="s">
        <v>46</v>
      </c>
      <c r="B122" t="s">
        <v>77</v>
      </c>
      <c r="D122" s="12" t="s">
        <v>109</v>
      </c>
    </row>
    <row r="123" spans="1:5" x14ac:dyDescent="0.2">
      <c r="A123" s="3" t="s">
        <v>47</v>
      </c>
      <c r="B123" t="s">
        <v>77</v>
      </c>
      <c r="D123" s="12" t="s">
        <v>109</v>
      </c>
    </row>
    <row r="124" spans="1:5" x14ac:dyDescent="0.2">
      <c r="A124" s="3" t="s">
        <v>48</v>
      </c>
      <c r="B124" t="s">
        <v>77</v>
      </c>
      <c r="D124" s="12" t="s">
        <v>109</v>
      </c>
    </row>
    <row r="125" spans="1:5" x14ac:dyDescent="0.2">
      <c r="A125" s="3" t="s">
        <v>49</v>
      </c>
      <c r="B125" t="s">
        <v>77</v>
      </c>
      <c r="D125" s="12" t="s">
        <v>109</v>
      </c>
    </row>
    <row r="126" spans="1:5" x14ac:dyDescent="0.2">
      <c r="A126" s="3" t="s">
        <v>50</v>
      </c>
      <c r="B126" t="s">
        <v>77</v>
      </c>
      <c r="D126" s="12" t="s">
        <v>109</v>
      </c>
    </row>
    <row r="127" spans="1:5" x14ac:dyDescent="0.2">
      <c r="A127" s="3" t="s">
        <v>51</v>
      </c>
      <c r="B127" t="s">
        <v>77</v>
      </c>
      <c r="D127" s="12" t="s">
        <v>109</v>
      </c>
    </row>
    <row r="128" spans="1:5" x14ac:dyDescent="0.2">
      <c r="A128" s="3" t="s">
        <v>52</v>
      </c>
      <c r="B128" t="s">
        <v>77</v>
      </c>
      <c r="D128" s="12" t="s">
        <v>109</v>
      </c>
    </row>
    <row r="129" spans="1:5" x14ac:dyDescent="0.2">
      <c r="A129" s="3" t="s">
        <v>53</v>
      </c>
      <c r="B129" t="s">
        <v>77</v>
      </c>
      <c r="D129" s="12" t="s">
        <v>109</v>
      </c>
    </row>
    <row r="130" spans="1:5" x14ac:dyDescent="0.2">
      <c r="A130" s="3" t="s">
        <v>54</v>
      </c>
      <c r="B130" t="s">
        <v>77</v>
      </c>
      <c r="D130" s="12" t="s">
        <v>109</v>
      </c>
    </row>
    <row r="131" spans="1:5" x14ac:dyDescent="0.2">
      <c r="A131" s="3" t="s">
        <v>55</v>
      </c>
      <c r="B131" t="s">
        <v>77</v>
      </c>
      <c r="D131" s="12" t="s">
        <v>109</v>
      </c>
    </row>
    <row r="132" spans="1:5" x14ac:dyDescent="0.2">
      <c r="A132" s="3" t="s">
        <v>56</v>
      </c>
      <c r="B132" t="s">
        <v>77</v>
      </c>
      <c r="D132" s="12" t="s">
        <v>109</v>
      </c>
      <c r="E132">
        <v>10</v>
      </c>
    </row>
    <row r="133" spans="1:5" x14ac:dyDescent="0.2">
      <c r="A133" s="3" t="s">
        <v>57</v>
      </c>
      <c r="B133" t="s">
        <v>77</v>
      </c>
      <c r="D133" s="12" t="s">
        <v>109</v>
      </c>
    </row>
    <row r="134" spans="1:5" x14ac:dyDescent="0.2">
      <c r="A134" s="1" t="s">
        <v>3</v>
      </c>
      <c r="B134" t="s">
        <v>76</v>
      </c>
      <c r="D134" s="12" t="s">
        <v>109</v>
      </c>
    </row>
    <row r="135" spans="1:5" x14ac:dyDescent="0.2">
      <c r="A135" s="1" t="s">
        <v>4</v>
      </c>
      <c r="B135" t="s">
        <v>76</v>
      </c>
      <c r="D135" s="12" t="s">
        <v>109</v>
      </c>
      <c r="E135">
        <v>10</v>
      </c>
    </row>
    <row r="136" spans="1:5" x14ac:dyDescent="0.2">
      <c r="A136" s="1" t="s">
        <v>5</v>
      </c>
      <c r="B136" t="s">
        <v>76</v>
      </c>
      <c r="D136" s="12" t="s">
        <v>109</v>
      </c>
    </row>
    <row r="137" spans="1:5" x14ac:dyDescent="0.2">
      <c r="A137" s="1" t="s">
        <v>6</v>
      </c>
      <c r="B137" t="s">
        <v>76</v>
      </c>
      <c r="D137" s="12" t="s">
        <v>109</v>
      </c>
    </row>
    <row r="138" spans="1:5" x14ac:dyDescent="0.2">
      <c r="A138" s="1" t="s">
        <v>7</v>
      </c>
      <c r="B138" t="s">
        <v>76</v>
      </c>
      <c r="D138" s="12" t="s">
        <v>109</v>
      </c>
      <c r="E138">
        <v>10</v>
      </c>
    </row>
    <row r="139" spans="1:5" x14ac:dyDescent="0.2">
      <c r="A139" s="1" t="s">
        <v>8</v>
      </c>
      <c r="B139" t="s">
        <v>76</v>
      </c>
      <c r="D139" s="12" t="s">
        <v>109</v>
      </c>
    </row>
    <row r="140" spans="1:5" x14ac:dyDescent="0.2">
      <c r="A140" s="1" t="s">
        <v>9</v>
      </c>
      <c r="B140" t="s">
        <v>76</v>
      </c>
      <c r="D140" s="12" t="s">
        <v>109</v>
      </c>
    </row>
    <row r="141" spans="1:5" x14ac:dyDescent="0.2">
      <c r="A141" s="1" t="s">
        <v>10</v>
      </c>
      <c r="B141" t="s">
        <v>76</v>
      </c>
      <c r="D141" s="12" t="s">
        <v>109</v>
      </c>
    </row>
    <row r="142" spans="1:5" x14ac:dyDescent="0.2">
      <c r="A142" s="1" t="s">
        <v>11</v>
      </c>
      <c r="B142" t="s">
        <v>76</v>
      </c>
      <c r="D142" s="12" t="s">
        <v>109</v>
      </c>
      <c r="E142">
        <v>10</v>
      </c>
    </row>
    <row r="143" spans="1:5" x14ac:dyDescent="0.2">
      <c r="A143" s="1" t="s">
        <v>12</v>
      </c>
      <c r="B143" t="s">
        <v>76</v>
      </c>
      <c r="D143" s="12" t="s">
        <v>109</v>
      </c>
    </row>
    <row r="144" spans="1:5" x14ac:dyDescent="0.2">
      <c r="A144" s="2" t="s">
        <v>18</v>
      </c>
      <c r="B144" t="s">
        <v>157</v>
      </c>
      <c r="D144" s="12" t="s">
        <v>109</v>
      </c>
    </row>
    <row r="145" spans="1:5" x14ac:dyDescent="0.2">
      <c r="A145" s="2" t="s">
        <v>19</v>
      </c>
      <c r="B145" t="s">
        <v>157</v>
      </c>
      <c r="D145" s="12" t="s">
        <v>109</v>
      </c>
    </row>
    <row r="146" spans="1:5" x14ac:dyDescent="0.2">
      <c r="A146" s="2" t="s">
        <v>20</v>
      </c>
      <c r="B146" t="s">
        <v>157</v>
      </c>
      <c r="D146" s="12" t="s">
        <v>109</v>
      </c>
    </row>
    <row r="147" spans="1:5" x14ac:dyDescent="0.2">
      <c r="A147" s="2" t="s">
        <v>21</v>
      </c>
      <c r="B147" t="s">
        <v>157</v>
      </c>
      <c r="D147" s="12" t="s">
        <v>109</v>
      </c>
    </row>
    <row r="148" spans="1:5" x14ac:dyDescent="0.2">
      <c r="A148" s="2" t="s">
        <v>22</v>
      </c>
      <c r="B148" t="s">
        <v>157</v>
      </c>
      <c r="D148" s="12" t="s">
        <v>109</v>
      </c>
    </row>
    <row r="149" spans="1:5" x14ac:dyDescent="0.2">
      <c r="A149" s="2" t="s">
        <v>23</v>
      </c>
      <c r="B149" t="s">
        <v>157</v>
      </c>
      <c r="D149" s="12" t="s">
        <v>109</v>
      </c>
    </row>
    <row r="150" spans="1:5" x14ac:dyDescent="0.2">
      <c r="A150" s="2" t="s">
        <v>24</v>
      </c>
      <c r="B150" t="s">
        <v>157</v>
      </c>
      <c r="D150" s="12" t="s">
        <v>109</v>
      </c>
    </row>
    <row r="151" spans="1:5" x14ac:dyDescent="0.2">
      <c r="A151" s="2" t="s">
        <v>25</v>
      </c>
      <c r="B151" t="s">
        <v>157</v>
      </c>
      <c r="D151" s="12" t="s">
        <v>109</v>
      </c>
    </row>
    <row r="152" spans="1:5" x14ac:dyDescent="0.2">
      <c r="A152" s="2" t="s">
        <v>26</v>
      </c>
      <c r="B152" t="s">
        <v>157</v>
      </c>
      <c r="D152" s="12" t="s">
        <v>109</v>
      </c>
      <c r="E152">
        <v>10</v>
      </c>
    </row>
    <row r="153" spans="1:5" x14ac:dyDescent="0.2">
      <c r="A153" s="2" t="s">
        <v>27</v>
      </c>
      <c r="B153" t="s">
        <v>157</v>
      </c>
      <c r="D153" s="12" t="s">
        <v>109</v>
      </c>
    </row>
    <row r="154" spans="1:5" x14ac:dyDescent="0.2">
      <c r="A154" s="2" t="s">
        <v>28</v>
      </c>
      <c r="B154" t="s">
        <v>157</v>
      </c>
      <c r="D154" s="12" t="s">
        <v>109</v>
      </c>
    </row>
    <row r="155" spans="1:5" x14ac:dyDescent="0.2">
      <c r="A155" s="2" t="s">
        <v>29</v>
      </c>
      <c r="B155" t="s">
        <v>157</v>
      </c>
      <c r="D155" s="12" t="s">
        <v>109</v>
      </c>
    </row>
    <row r="156" spans="1:5" x14ac:dyDescent="0.2">
      <c r="A156" s="2" t="s">
        <v>30</v>
      </c>
      <c r="B156" t="s">
        <v>157</v>
      </c>
      <c r="D156" s="12" t="s">
        <v>109</v>
      </c>
    </row>
    <row r="157" spans="1:5" x14ac:dyDescent="0.2">
      <c r="A157" s="2" t="s">
        <v>31</v>
      </c>
      <c r="B157" t="s">
        <v>157</v>
      </c>
      <c r="D157" s="12" t="s">
        <v>109</v>
      </c>
    </row>
    <row r="158" spans="1:5" x14ac:dyDescent="0.2">
      <c r="A158" s="2" t="s">
        <v>32</v>
      </c>
      <c r="B158" t="s">
        <v>157</v>
      </c>
      <c r="D158" s="12" t="s">
        <v>109</v>
      </c>
      <c r="E158">
        <v>10</v>
      </c>
    </row>
    <row r="159" spans="1:5" x14ac:dyDescent="0.2">
      <c r="A159" s="2" t="s">
        <v>33</v>
      </c>
      <c r="B159" t="s">
        <v>157</v>
      </c>
      <c r="D159" s="12" t="s">
        <v>109</v>
      </c>
    </row>
    <row r="160" spans="1:5" x14ac:dyDescent="0.2">
      <c r="A160" s="2" t="s">
        <v>34</v>
      </c>
      <c r="B160" t="s">
        <v>157</v>
      </c>
      <c r="D160" s="12" t="s">
        <v>109</v>
      </c>
    </row>
    <row r="161" spans="1:4" x14ac:dyDescent="0.2">
      <c r="A161" s="2" t="s">
        <v>35</v>
      </c>
      <c r="B161" t="s">
        <v>157</v>
      </c>
      <c r="D161" s="12" t="s">
        <v>109</v>
      </c>
    </row>
    <row r="162" spans="1:4" x14ac:dyDescent="0.2">
      <c r="A162" s="2" t="s">
        <v>36</v>
      </c>
      <c r="B162" t="s">
        <v>157</v>
      </c>
      <c r="D162" s="12" t="s">
        <v>109</v>
      </c>
    </row>
    <row r="163" spans="1:4" x14ac:dyDescent="0.2">
      <c r="A163" s="2" t="s">
        <v>37</v>
      </c>
      <c r="B163" t="s">
        <v>157</v>
      </c>
      <c r="D163" s="12" t="s">
        <v>109</v>
      </c>
    </row>
    <row r="164" spans="1:4" x14ac:dyDescent="0.2">
      <c r="A164" t="s">
        <v>14</v>
      </c>
      <c r="B164" t="s">
        <v>81</v>
      </c>
      <c r="D164" s="12" t="s">
        <v>109</v>
      </c>
    </row>
    <row r="165" spans="1:4" x14ac:dyDescent="0.2">
      <c r="A165" t="s">
        <v>15</v>
      </c>
      <c r="B165" t="s">
        <v>81</v>
      </c>
      <c r="D165" s="12" t="s">
        <v>109</v>
      </c>
    </row>
    <row r="166" spans="1:4" x14ac:dyDescent="0.2">
      <c r="A166" t="s">
        <v>16</v>
      </c>
      <c r="B166" t="s">
        <v>81</v>
      </c>
      <c r="D166" s="12" t="s">
        <v>109</v>
      </c>
    </row>
    <row r="167" spans="1:4" x14ac:dyDescent="0.2">
      <c r="A167" t="s">
        <v>17</v>
      </c>
      <c r="B167" t="s">
        <v>81</v>
      </c>
      <c r="D167" s="12" t="s">
        <v>109</v>
      </c>
    </row>
    <row r="168" spans="1:4" x14ac:dyDescent="0.2">
      <c r="A168" t="s">
        <v>58</v>
      </c>
      <c r="B168" t="s">
        <v>81</v>
      </c>
      <c r="D168" s="12" t="s">
        <v>109</v>
      </c>
    </row>
    <row r="169" spans="1:4" x14ac:dyDescent="0.2">
      <c r="A169" t="s">
        <v>59</v>
      </c>
      <c r="B169" t="s">
        <v>81</v>
      </c>
      <c r="D169" s="12" t="s">
        <v>109</v>
      </c>
    </row>
    <row r="170" spans="1:4" x14ac:dyDescent="0.2">
      <c r="A170" s="3" t="s">
        <v>38</v>
      </c>
      <c r="B170" t="s">
        <v>77</v>
      </c>
      <c r="D170" s="12" t="s">
        <v>112</v>
      </c>
    </row>
    <row r="171" spans="1:4" x14ac:dyDescent="0.2">
      <c r="A171" s="3" t="s">
        <v>39</v>
      </c>
      <c r="B171" t="s">
        <v>77</v>
      </c>
      <c r="D171" s="12" t="s">
        <v>112</v>
      </c>
    </row>
    <row r="172" spans="1:4" x14ac:dyDescent="0.2">
      <c r="A172" s="3" t="s">
        <v>40</v>
      </c>
      <c r="B172" t="s">
        <v>77</v>
      </c>
      <c r="D172" s="12" t="s">
        <v>111</v>
      </c>
    </row>
    <row r="173" spans="1:4" x14ac:dyDescent="0.2">
      <c r="A173" s="3" t="s">
        <v>41</v>
      </c>
      <c r="B173" t="s">
        <v>77</v>
      </c>
      <c r="D173" s="12" t="s">
        <v>111</v>
      </c>
    </row>
    <row r="174" spans="1:4" x14ac:dyDescent="0.2">
      <c r="A174" s="3" t="s">
        <v>42</v>
      </c>
      <c r="B174" t="s">
        <v>77</v>
      </c>
      <c r="D174" s="12" t="s">
        <v>111</v>
      </c>
    </row>
    <row r="175" spans="1:4" x14ac:dyDescent="0.2">
      <c r="A175" s="3" t="s">
        <v>43</v>
      </c>
      <c r="B175" t="s">
        <v>77</v>
      </c>
      <c r="D175" s="12" t="s">
        <v>111</v>
      </c>
    </row>
    <row r="176" spans="1:4" x14ac:dyDescent="0.2">
      <c r="A176" s="3" t="s">
        <v>44</v>
      </c>
      <c r="B176" t="s">
        <v>77</v>
      </c>
      <c r="D176" s="12" t="s">
        <v>111</v>
      </c>
    </row>
    <row r="177" spans="1:5" x14ac:dyDescent="0.2">
      <c r="A177" s="3" t="s">
        <v>45</v>
      </c>
      <c r="B177" t="s">
        <v>77</v>
      </c>
      <c r="D177" s="12" t="s">
        <v>111</v>
      </c>
    </row>
    <row r="178" spans="1:5" x14ac:dyDescent="0.2">
      <c r="A178" s="3" t="s">
        <v>46</v>
      </c>
      <c r="B178" t="s">
        <v>77</v>
      </c>
      <c r="D178" s="12" t="s">
        <v>111</v>
      </c>
    </row>
    <row r="179" spans="1:5" x14ac:dyDescent="0.2">
      <c r="A179" s="3" t="s">
        <v>47</v>
      </c>
      <c r="B179" t="s">
        <v>77</v>
      </c>
      <c r="D179" s="12" t="s">
        <v>111</v>
      </c>
    </row>
    <row r="180" spans="1:5" x14ac:dyDescent="0.2">
      <c r="A180" s="3" t="s">
        <v>48</v>
      </c>
      <c r="B180" t="s">
        <v>77</v>
      </c>
      <c r="D180" s="12" t="s">
        <v>111</v>
      </c>
    </row>
    <row r="181" spans="1:5" x14ac:dyDescent="0.2">
      <c r="A181" s="3" t="s">
        <v>49</v>
      </c>
      <c r="B181" t="s">
        <v>77</v>
      </c>
      <c r="D181" s="12" t="s">
        <v>111</v>
      </c>
    </row>
    <row r="182" spans="1:5" x14ac:dyDescent="0.2">
      <c r="A182" s="3" t="s">
        <v>50</v>
      </c>
      <c r="B182" t="s">
        <v>77</v>
      </c>
      <c r="D182" s="12" t="s">
        <v>111</v>
      </c>
    </row>
    <row r="183" spans="1:5" x14ac:dyDescent="0.2">
      <c r="A183" s="3" t="s">
        <v>51</v>
      </c>
      <c r="B183" t="s">
        <v>77</v>
      </c>
      <c r="D183" s="12" t="s">
        <v>111</v>
      </c>
    </row>
    <row r="184" spans="1:5" x14ac:dyDescent="0.2">
      <c r="A184" s="3" t="s">
        <v>52</v>
      </c>
      <c r="B184" t="s">
        <v>77</v>
      </c>
      <c r="D184" s="12" t="s">
        <v>111</v>
      </c>
    </row>
    <row r="185" spans="1:5" x14ac:dyDescent="0.2">
      <c r="A185" s="3" t="s">
        <v>53</v>
      </c>
      <c r="B185" t="s">
        <v>77</v>
      </c>
      <c r="D185" s="12" t="s">
        <v>111</v>
      </c>
    </row>
    <row r="186" spans="1:5" x14ac:dyDescent="0.2">
      <c r="A186" s="3" t="s">
        <v>54</v>
      </c>
      <c r="B186" t="s">
        <v>77</v>
      </c>
      <c r="D186" s="12" t="s">
        <v>111</v>
      </c>
    </row>
    <row r="187" spans="1:5" x14ac:dyDescent="0.2">
      <c r="A187" s="3" t="s">
        <v>55</v>
      </c>
      <c r="B187" t="s">
        <v>77</v>
      </c>
      <c r="D187" s="12" t="s">
        <v>111</v>
      </c>
    </row>
    <row r="188" spans="1:5" x14ac:dyDescent="0.2">
      <c r="A188" s="3" t="s">
        <v>56</v>
      </c>
      <c r="B188" t="s">
        <v>77</v>
      </c>
      <c r="D188" s="12" t="s">
        <v>111</v>
      </c>
    </row>
    <row r="189" spans="1:5" x14ac:dyDescent="0.2">
      <c r="A189" s="3" t="s">
        <v>57</v>
      </c>
      <c r="B189" t="s">
        <v>77</v>
      </c>
      <c r="D189" s="12" t="s">
        <v>111</v>
      </c>
    </row>
    <row r="190" spans="1:5" x14ac:dyDescent="0.2">
      <c r="A190" s="1" t="s">
        <v>3</v>
      </c>
      <c r="B190" t="s">
        <v>76</v>
      </c>
      <c r="D190" s="12" t="s">
        <v>111</v>
      </c>
      <c r="E190">
        <v>6</v>
      </c>
    </row>
    <row r="191" spans="1:5" x14ac:dyDescent="0.2">
      <c r="A191" s="1" t="s">
        <v>4</v>
      </c>
      <c r="B191" t="s">
        <v>76</v>
      </c>
      <c r="D191" s="12" t="s">
        <v>111</v>
      </c>
    </row>
    <row r="192" spans="1:5" x14ac:dyDescent="0.2">
      <c r="A192" s="1" t="s">
        <v>5</v>
      </c>
      <c r="B192" t="s">
        <v>76</v>
      </c>
      <c r="D192" s="12" t="s">
        <v>111</v>
      </c>
    </row>
    <row r="193" spans="1:5" x14ac:dyDescent="0.2">
      <c r="A193" s="1" t="s">
        <v>6</v>
      </c>
      <c r="B193" t="s">
        <v>76</v>
      </c>
      <c r="D193" s="12" t="s">
        <v>111</v>
      </c>
      <c r="E193">
        <v>5</v>
      </c>
    </row>
    <row r="194" spans="1:5" x14ac:dyDescent="0.2">
      <c r="A194" s="1" t="s">
        <v>7</v>
      </c>
      <c r="B194" t="s">
        <v>76</v>
      </c>
      <c r="D194" s="12" t="s">
        <v>111</v>
      </c>
    </row>
    <row r="195" spans="1:5" x14ac:dyDescent="0.2">
      <c r="A195" s="1" t="s">
        <v>8</v>
      </c>
      <c r="B195" t="s">
        <v>76</v>
      </c>
      <c r="D195" s="12" t="s">
        <v>111</v>
      </c>
    </row>
    <row r="196" spans="1:5" x14ac:dyDescent="0.2">
      <c r="A196" s="1" t="s">
        <v>9</v>
      </c>
      <c r="B196" t="s">
        <v>76</v>
      </c>
      <c r="D196" s="12" t="s">
        <v>111</v>
      </c>
    </row>
    <row r="197" spans="1:5" x14ac:dyDescent="0.2">
      <c r="A197" s="1" t="s">
        <v>10</v>
      </c>
      <c r="B197" t="s">
        <v>76</v>
      </c>
      <c r="D197" s="12" t="s">
        <v>111</v>
      </c>
    </row>
    <row r="198" spans="1:5" x14ac:dyDescent="0.2">
      <c r="A198" s="1" t="s">
        <v>11</v>
      </c>
      <c r="B198" t="s">
        <v>76</v>
      </c>
      <c r="D198" s="12" t="s">
        <v>111</v>
      </c>
      <c r="E198">
        <v>7</v>
      </c>
    </row>
    <row r="199" spans="1:5" x14ac:dyDescent="0.2">
      <c r="A199" s="1" t="s">
        <v>12</v>
      </c>
      <c r="B199" t="s">
        <v>76</v>
      </c>
      <c r="D199" s="12" t="s">
        <v>111</v>
      </c>
    </row>
    <row r="200" spans="1:5" x14ac:dyDescent="0.2">
      <c r="A200" s="2" t="s">
        <v>18</v>
      </c>
      <c r="B200" t="s">
        <v>157</v>
      </c>
      <c r="D200" s="12" t="s">
        <v>111</v>
      </c>
      <c r="E200">
        <v>10</v>
      </c>
    </row>
    <row r="201" spans="1:5" x14ac:dyDescent="0.2">
      <c r="A201" s="2" t="s">
        <v>19</v>
      </c>
      <c r="B201" t="s">
        <v>157</v>
      </c>
      <c r="D201" s="12" t="s">
        <v>111</v>
      </c>
    </row>
    <row r="202" spans="1:5" x14ac:dyDescent="0.2">
      <c r="A202" s="2" t="s">
        <v>20</v>
      </c>
      <c r="B202" t="s">
        <v>157</v>
      </c>
      <c r="D202" s="12" t="s">
        <v>111</v>
      </c>
    </row>
    <row r="203" spans="1:5" x14ac:dyDescent="0.2">
      <c r="A203" s="2" t="s">
        <v>21</v>
      </c>
      <c r="B203" t="s">
        <v>157</v>
      </c>
      <c r="D203" s="12" t="s">
        <v>111</v>
      </c>
    </row>
    <row r="204" spans="1:5" x14ac:dyDescent="0.2">
      <c r="A204" s="2" t="s">
        <v>22</v>
      </c>
      <c r="B204" t="s">
        <v>157</v>
      </c>
      <c r="D204" s="12" t="s">
        <v>111</v>
      </c>
    </row>
    <row r="205" spans="1:5" x14ac:dyDescent="0.2">
      <c r="A205" s="2" t="s">
        <v>23</v>
      </c>
      <c r="B205" t="s">
        <v>157</v>
      </c>
      <c r="D205" s="12" t="s">
        <v>111</v>
      </c>
    </row>
    <row r="206" spans="1:5" x14ac:dyDescent="0.2">
      <c r="A206" s="2" t="s">
        <v>24</v>
      </c>
      <c r="B206" t="s">
        <v>157</v>
      </c>
      <c r="D206" s="12" t="s">
        <v>111</v>
      </c>
      <c r="E206">
        <v>8</v>
      </c>
    </row>
    <row r="207" spans="1:5" x14ac:dyDescent="0.2">
      <c r="A207" s="2" t="s">
        <v>25</v>
      </c>
      <c r="B207" t="s">
        <v>157</v>
      </c>
      <c r="D207" s="12" t="s">
        <v>111</v>
      </c>
    </row>
    <row r="208" spans="1:5" x14ac:dyDescent="0.2">
      <c r="A208" s="2" t="s">
        <v>26</v>
      </c>
      <c r="B208" t="s">
        <v>157</v>
      </c>
      <c r="D208" s="12" t="s">
        <v>111</v>
      </c>
    </row>
    <row r="209" spans="1:5" x14ac:dyDescent="0.2">
      <c r="A209" s="2" t="s">
        <v>27</v>
      </c>
      <c r="B209" t="s">
        <v>157</v>
      </c>
      <c r="D209" s="12" t="s">
        <v>111</v>
      </c>
    </row>
    <row r="210" spans="1:5" x14ac:dyDescent="0.2">
      <c r="A210" s="2" t="s">
        <v>28</v>
      </c>
      <c r="B210" t="s">
        <v>157</v>
      </c>
      <c r="D210" s="12" t="s">
        <v>111</v>
      </c>
    </row>
    <row r="211" spans="1:5" x14ac:dyDescent="0.2">
      <c r="A211" s="2" t="s">
        <v>29</v>
      </c>
      <c r="B211" t="s">
        <v>157</v>
      </c>
      <c r="D211" s="12" t="s">
        <v>111</v>
      </c>
    </row>
    <row r="212" spans="1:5" x14ac:dyDescent="0.2">
      <c r="A212" s="2" t="s">
        <v>30</v>
      </c>
      <c r="B212" t="s">
        <v>157</v>
      </c>
      <c r="D212" s="12" t="s">
        <v>111</v>
      </c>
      <c r="E212">
        <v>6</v>
      </c>
    </row>
    <row r="213" spans="1:5" x14ac:dyDescent="0.2">
      <c r="A213" s="2" t="s">
        <v>31</v>
      </c>
      <c r="B213" t="s">
        <v>157</v>
      </c>
      <c r="D213" s="12" t="s">
        <v>111</v>
      </c>
    </row>
    <row r="214" spans="1:5" x14ac:dyDescent="0.2">
      <c r="A214" s="2" t="s">
        <v>32</v>
      </c>
      <c r="B214" t="s">
        <v>157</v>
      </c>
      <c r="D214" s="12" t="s">
        <v>111</v>
      </c>
    </row>
    <row r="215" spans="1:5" x14ac:dyDescent="0.2">
      <c r="A215" s="2" t="s">
        <v>33</v>
      </c>
      <c r="B215" t="s">
        <v>157</v>
      </c>
      <c r="D215" s="12" t="s">
        <v>111</v>
      </c>
    </row>
    <row r="216" spans="1:5" x14ac:dyDescent="0.2">
      <c r="A216" s="2" t="s">
        <v>34</v>
      </c>
      <c r="B216" t="s">
        <v>157</v>
      </c>
      <c r="D216" s="12" t="s">
        <v>111</v>
      </c>
    </row>
    <row r="217" spans="1:5" x14ac:dyDescent="0.2">
      <c r="A217" s="2" t="s">
        <v>35</v>
      </c>
      <c r="B217" t="s">
        <v>157</v>
      </c>
      <c r="D217" s="12" t="s">
        <v>111</v>
      </c>
    </row>
    <row r="218" spans="1:5" x14ac:dyDescent="0.2">
      <c r="A218" s="2" t="s">
        <v>36</v>
      </c>
      <c r="B218" t="s">
        <v>157</v>
      </c>
      <c r="D218" s="12" t="s">
        <v>111</v>
      </c>
    </row>
    <row r="219" spans="1:5" x14ac:dyDescent="0.2">
      <c r="A219" s="2" t="s">
        <v>37</v>
      </c>
      <c r="B219" t="s">
        <v>157</v>
      </c>
      <c r="D219" s="12" t="s">
        <v>111</v>
      </c>
    </row>
    <row r="220" spans="1:5" x14ac:dyDescent="0.2">
      <c r="A220" t="s">
        <v>14</v>
      </c>
      <c r="B220" t="s">
        <v>81</v>
      </c>
      <c r="D220" s="12" t="s">
        <v>111</v>
      </c>
    </row>
    <row r="221" spans="1:5" x14ac:dyDescent="0.2">
      <c r="A221" t="s">
        <v>15</v>
      </c>
      <c r="B221" t="s">
        <v>81</v>
      </c>
      <c r="D221" s="12" t="s">
        <v>111</v>
      </c>
    </row>
    <row r="222" spans="1:5" x14ac:dyDescent="0.2">
      <c r="A222" t="s">
        <v>16</v>
      </c>
      <c r="B222" t="s">
        <v>81</v>
      </c>
      <c r="D222" s="12" t="s">
        <v>111</v>
      </c>
    </row>
    <row r="223" spans="1:5" x14ac:dyDescent="0.2">
      <c r="A223" t="s">
        <v>17</v>
      </c>
      <c r="B223" t="s">
        <v>81</v>
      </c>
      <c r="D223" s="12" t="s">
        <v>111</v>
      </c>
    </row>
    <row r="224" spans="1:5" x14ac:dyDescent="0.2">
      <c r="A224" t="s">
        <v>58</v>
      </c>
      <c r="B224" t="s">
        <v>81</v>
      </c>
      <c r="D224" s="12" t="s">
        <v>111</v>
      </c>
    </row>
    <row r="225" spans="1:5" x14ac:dyDescent="0.2">
      <c r="A225" t="s">
        <v>59</v>
      </c>
      <c r="B225" t="s">
        <v>81</v>
      </c>
      <c r="D225" s="12" t="s">
        <v>111</v>
      </c>
    </row>
    <row r="226" spans="1:5" x14ac:dyDescent="0.2">
      <c r="A226" s="5" t="s">
        <v>38</v>
      </c>
      <c r="B226" s="6" t="s">
        <v>77</v>
      </c>
      <c r="D226" s="13" t="s">
        <v>114</v>
      </c>
    </row>
    <row r="227" spans="1:5" x14ac:dyDescent="0.2">
      <c r="A227" s="5" t="s">
        <v>39</v>
      </c>
      <c r="B227" s="6" t="s">
        <v>77</v>
      </c>
      <c r="D227" s="13" t="s">
        <v>115</v>
      </c>
    </row>
    <row r="228" spans="1:5" x14ac:dyDescent="0.2">
      <c r="A228" s="5" t="s">
        <v>40</v>
      </c>
      <c r="B228" s="6" t="s">
        <v>77</v>
      </c>
      <c r="D228" s="13" t="s">
        <v>113</v>
      </c>
    </row>
    <row r="229" spans="1:5" x14ac:dyDescent="0.2">
      <c r="A229" s="5" t="s">
        <v>41</v>
      </c>
      <c r="B229" s="6" t="s">
        <v>77</v>
      </c>
      <c r="D229" s="13" t="s">
        <v>113</v>
      </c>
    </row>
    <row r="230" spans="1:5" x14ac:dyDescent="0.2">
      <c r="A230" s="5" t="s">
        <v>42</v>
      </c>
      <c r="B230" s="6" t="s">
        <v>77</v>
      </c>
      <c r="D230" s="13" t="s">
        <v>113</v>
      </c>
      <c r="E230" s="6">
        <v>13</v>
      </c>
    </row>
    <row r="231" spans="1:5" x14ac:dyDescent="0.2">
      <c r="A231" s="5" t="s">
        <v>43</v>
      </c>
      <c r="B231" s="6" t="s">
        <v>77</v>
      </c>
      <c r="D231" s="13" t="s">
        <v>113</v>
      </c>
    </row>
    <row r="232" spans="1:5" x14ac:dyDescent="0.2">
      <c r="A232" s="5" t="s">
        <v>44</v>
      </c>
      <c r="B232" s="6" t="s">
        <v>77</v>
      </c>
      <c r="D232" s="13" t="s">
        <v>113</v>
      </c>
    </row>
    <row r="233" spans="1:5" x14ac:dyDescent="0.2">
      <c r="A233" s="5" t="s">
        <v>45</v>
      </c>
      <c r="B233" s="6" t="s">
        <v>77</v>
      </c>
      <c r="D233" s="13" t="s">
        <v>113</v>
      </c>
    </row>
    <row r="234" spans="1:5" x14ac:dyDescent="0.2">
      <c r="A234" s="5" t="s">
        <v>46</v>
      </c>
      <c r="B234" s="6" t="s">
        <v>77</v>
      </c>
      <c r="D234" s="13" t="s">
        <v>113</v>
      </c>
    </row>
    <row r="235" spans="1:5" x14ac:dyDescent="0.2">
      <c r="A235" s="5" t="s">
        <v>47</v>
      </c>
      <c r="B235" s="6" t="s">
        <v>77</v>
      </c>
      <c r="D235" s="13" t="s">
        <v>113</v>
      </c>
    </row>
    <row r="236" spans="1:5" x14ac:dyDescent="0.2">
      <c r="A236" s="5" t="s">
        <v>48</v>
      </c>
      <c r="B236" s="6" t="s">
        <v>77</v>
      </c>
      <c r="D236" s="13" t="s">
        <v>113</v>
      </c>
    </row>
    <row r="237" spans="1:5" x14ac:dyDescent="0.2">
      <c r="A237" s="5" t="s">
        <v>49</v>
      </c>
      <c r="B237" s="6" t="s">
        <v>77</v>
      </c>
      <c r="D237" s="13" t="s">
        <v>113</v>
      </c>
    </row>
    <row r="238" spans="1:5" x14ac:dyDescent="0.2">
      <c r="A238" s="5" t="s">
        <v>50</v>
      </c>
      <c r="B238" s="6" t="s">
        <v>77</v>
      </c>
      <c r="D238" s="13" t="s">
        <v>113</v>
      </c>
    </row>
    <row r="239" spans="1:5" x14ac:dyDescent="0.2">
      <c r="A239" s="5" t="s">
        <v>51</v>
      </c>
      <c r="B239" s="6" t="s">
        <v>77</v>
      </c>
      <c r="D239" s="13" t="s">
        <v>113</v>
      </c>
    </row>
    <row r="240" spans="1:5" x14ac:dyDescent="0.2">
      <c r="A240" s="5" t="s">
        <v>52</v>
      </c>
      <c r="B240" s="6" t="s">
        <v>77</v>
      </c>
      <c r="D240" s="13" t="s">
        <v>113</v>
      </c>
    </row>
    <row r="241" spans="1:5" x14ac:dyDescent="0.2">
      <c r="A241" s="5" t="s">
        <v>53</v>
      </c>
      <c r="B241" s="6" t="s">
        <v>77</v>
      </c>
      <c r="D241" s="13" t="s">
        <v>113</v>
      </c>
    </row>
    <row r="242" spans="1:5" x14ac:dyDescent="0.2">
      <c r="A242" s="5" t="s">
        <v>54</v>
      </c>
      <c r="B242" s="6" t="s">
        <v>77</v>
      </c>
      <c r="D242" s="13" t="s">
        <v>113</v>
      </c>
      <c r="E242" s="6">
        <v>13</v>
      </c>
    </row>
    <row r="243" spans="1:5" x14ac:dyDescent="0.2">
      <c r="A243" s="5" t="s">
        <v>55</v>
      </c>
      <c r="B243" s="6" t="s">
        <v>77</v>
      </c>
      <c r="D243" s="13" t="s">
        <v>113</v>
      </c>
    </row>
    <row r="244" spans="1:5" x14ac:dyDescent="0.2">
      <c r="A244" s="5" t="s">
        <v>56</v>
      </c>
      <c r="B244" s="6" t="s">
        <v>77</v>
      </c>
      <c r="D244" s="13" t="s">
        <v>113</v>
      </c>
    </row>
    <row r="245" spans="1:5" x14ac:dyDescent="0.2">
      <c r="A245" s="5" t="s">
        <v>57</v>
      </c>
      <c r="B245" s="6" t="s">
        <v>77</v>
      </c>
      <c r="D245" s="13" t="s">
        <v>113</v>
      </c>
    </row>
    <row r="246" spans="1:5" x14ac:dyDescent="0.2">
      <c r="A246" s="7" t="s">
        <v>3</v>
      </c>
      <c r="B246" s="6" t="s">
        <v>76</v>
      </c>
      <c r="D246" s="13" t="s">
        <v>113</v>
      </c>
    </row>
    <row r="247" spans="1:5" x14ac:dyDescent="0.2">
      <c r="A247" s="7" t="s">
        <v>4</v>
      </c>
      <c r="B247" s="6" t="s">
        <v>76</v>
      </c>
      <c r="D247" s="13" t="s">
        <v>113</v>
      </c>
      <c r="E247" s="6">
        <v>15</v>
      </c>
    </row>
    <row r="248" spans="1:5" x14ac:dyDescent="0.2">
      <c r="A248" s="7" t="s">
        <v>5</v>
      </c>
      <c r="B248" s="6" t="s">
        <v>76</v>
      </c>
      <c r="D248" s="13" t="s">
        <v>113</v>
      </c>
    </row>
    <row r="249" spans="1:5" x14ac:dyDescent="0.2">
      <c r="A249" s="7" t="s">
        <v>6</v>
      </c>
      <c r="B249" s="6" t="s">
        <v>76</v>
      </c>
      <c r="D249" s="13" t="s">
        <v>113</v>
      </c>
    </row>
    <row r="250" spans="1:5" x14ac:dyDescent="0.2">
      <c r="A250" s="7" t="s">
        <v>7</v>
      </c>
      <c r="B250" s="6" t="s">
        <v>76</v>
      </c>
      <c r="D250" s="13" t="s">
        <v>113</v>
      </c>
    </row>
    <row r="251" spans="1:5" x14ac:dyDescent="0.2">
      <c r="A251" s="7" t="s">
        <v>8</v>
      </c>
      <c r="B251" s="6" t="s">
        <v>76</v>
      </c>
      <c r="D251" s="13" t="s">
        <v>113</v>
      </c>
      <c r="E251" s="6">
        <v>13</v>
      </c>
    </row>
    <row r="252" spans="1:5" x14ac:dyDescent="0.2">
      <c r="A252" s="7" t="s">
        <v>9</v>
      </c>
      <c r="B252" s="6" t="s">
        <v>76</v>
      </c>
      <c r="D252" s="13" t="s">
        <v>113</v>
      </c>
    </row>
    <row r="253" spans="1:5" x14ac:dyDescent="0.2">
      <c r="A253" s="7" t="s">
        <v>10</v>
      </c>
      <c r="B253" s="6" t="s">
        <v>76</v>
      </c>
      <c r="D253" s="13" t="s">
        <v>113</v>
      </c>
    </row>
    <row r="254" spans="1:5" x14ac:dyDescent="0.2">
      <c r="A254" s="7" t="s">
        <v>11</v>
      </c>
      <c r="B254" s="6" t="s">
        <v>76</v>
      </c>
      <c r="D254" s="13" t="s">
        <v>113</v>
      </c>
    </row>
    <row r="255" spans="1:5" x14ac:dyDescent="0.2">
      <c r="A255" s="7" t="s">
        <v>12</v>
      </c>
      <c r="B255" s="6" t="s">
        <v>76</v>
      </c>
      <c r="D255" s="13" t="s">
        <v>113</v>
      </c>
    </row>
    <row r="256" spans="1:5" x14ac:dyDescent="0.2">
      <c r="A256" s="8" t="s">
        <v>18</v>
      </c>
      <c r="B256" s="6" t="s">
        <v>157</v>
      </c>
      <c r="D256" s="13" t="s">
        <v>113</v>
      </c>
      <c r="E256" s="6">
        <v>13</v>
      </c>
    </row>
    <row r="257" spans="1:5" x14ac:dyDescent="0.2">
      <c r="A257" s="8" t="s">
        <v>19</v>
      </c>
      <c r="B257" s="6" t="s">
        <v>157</v>
      </c>
      <c r="D257" s="13" t="s">
        <v>113</v>
      </c>
    </row>
    <row r="258" spans="1:5" x14ac:dyDescent="0.2">
      <c r="A258" s="8" t="s">
        <v>20</v>
      </c>
      <c r="B258" s="6" t="s">
        <v>157</v>
      </c>
      <c r="D258" s="13" t="s">
        <v>113</v>
      </c>
    </row>
    <row r="259" spans="1:5" x14ac:dyDescent="0.2">
      <c r="A259" s="8" t="s">
        <v>21</v>
      </c>
      <c r="B259" s="6" t="s">
        <v>157</v>
      </c>
      <c r="D259" s="13" t="s">
        <v>113</v>
      </c>
      <c r="E259" s="10"/>
    </row>
    <row r="260" spans="1:5" x14ac:dyDescent="0.2">
      <c r="A260" s="8" t="s">
        <v>22</v>
      </c>
      <c r="B260" s="6" t="s">
        <v>157</v>
      </c>
      <c r="D260" s="13" t="s">
        <v>113</v>
      </c>
    </row>
    <row r="261" spans="1:5" x14ac:dyDescent="0.2">
      <c r="A261" s="8" t="s">
        <v>23</v>
      </c>
      <c r="B261" s="6" t="s">
        <v>157</v>
      </c>
      <c r="D261" s="13" t="s">
        <v>113</v>
      </c>
    </row>
    <row r="262" spans="1:5" x14ac:dyDescent="0.2">
      <c r="A262" s="8" t="s">
        <v>24</v>
      </c>
      <c r="B262" s="6" t="s">
        <v>157</v>
      </c>
      <c r="D262" s="13" t="s">
        <v>113</v>
      </c>
    </row>
    <row r="263" spans="1:5" x14ac:dyDescent="0.2">
      <c r="A263" s="8" t="s">
        <v>25</v>
      </c>
      <c r="B263" s="6" t="s">
        <v>157</v>
      </c>
      <c r="D263" s="13" t="s">
        <v>113</v>
      </c>
    </row>
    <row r="264" spans="1:5" x14ac:dyDescent="0.2">
      <c r="A264" s="8" t="s">
        <v>26</v>
      </c>
      <c r="B264" s="6" t="s">
        <v>157</v>
      </c>
      <c r="D264" s="13" t="s">
        <v>113</v>
      </c>
    </row>
    <row r="265" spans="1:5" x14ac:dyDescent="0.2">
      <c r="A265" s="8" t="s">
        <v>27</v>
      </c>
      <c r="B265" s="6" t="s">
        <v>157</v>
      </c>
      <c r="D265" s="13" t="s">
        <v>113</v>
      </c>
    </row>
    <row r="266" spans="1:5" x14ac:dyDescent="0.2">
      <c r="A266" s="8" t="s">
        <v>28</v>
      </c>
      <c r="B266" s="6" t="s">
        <v>157</v>
      </c>
      <c r="D266" s="13" t="s">
        <v>113</v>
      </c>
    </row>
    <row r="267" spans="1:5" x14ac:dyDescent="0.2">
      <c r="A267" s="8" t="s">
        <v>29</v>
      </c>
      <c r="B267" s="6" t="s">
        <v>157</v>
      </c>
      <c r="D267" s="13" t="s">
        <v>113</v>
      </c>
    </row>
    <row r="268" spans="1:5" x14ac:dyDescent="0.2">
      <c r="A268" s="8" t="s">
        <v>30</v>
      </c>
      <c r="B268" s="6" t="s">
        <v>157</v>
      </c>
      <c r="D268" s="13" t="s">
        <v>113</v>
      </c>
    </row>
    <row r="269" spans="1:5" x14ac:dyDescent="0.2">
      <c r="A269" s="8" t="s">
        <v>31</v>
      </c>
      <c r="B269" s="6" t="s">
        <v>157</v>
      </c>
      <c r="D269" s="13" t="s">
        <v>113</v>
      </c>
    </row>
    <row r="270" spans="1:5" x14ac:dyDescent="0.2">
      <c r="A270" s="8" t="s">
        <v>32</v>
      </c>
      <c r="B270" s="6" t="s">
        <v>157</v>
      </c>
      <c r="D270" s="13" t="s">
        <v>113</v>
      </c>
    </row>
    <row r="271" spans="1:5" x14ac:dyDescent="0.2">
      <c r="A271" s="8" t="s">
        <v>33</v>
      </c>
      <c r="B271" s="6" t="s">
        <v>157</v>
      </c>
      <c r="D271" s="13" t="s">
        <v>113</v>
      </c>
    </row>
    <row r="272" spans="1:5" x14ac:dyDescent="0.2">
      <c r="A272" s="8" t="s">
        <v>34</v>
      </c>
      <c r="B272" s="6" t="s">
        <v>157</v>
      </c>
      <c r="D272" s="13" t="s">
        <v>113</v>
      </c>
    </row>
    <row r="273" spans="1:5" x14ac:dyDescent="0.2">
      <c r="A273" s="8" t="s">
        <v>35</v>
      </c>
      <c r="B273" s="6" t="s">
        <v>157</v>
      </c>
      <c r="D273" s="13" t="s">
        <v>113</v>
      </c>
    </row>
    <row r="274" spans="1:5" x14ac:dyDescent="0.2">
      <c r="A274" s="8" t="s">
        <v>36</v>
      </c>
      <c r="B274" s="6" t="s">
        <v>157</v>
      </c>
      <c r="D274" s="13" t="s">
        <v>113</v>
      </c>
    </row>
    <row r="275" spans="1:5" x14ac:dyDescent="0.2">
      <c r="A275" s="8" t="s">
        <v>37</v>
      </c>
      <c r="B275" s="6" t="s">
        <v>157</v>
      </c>
      <c r="D275" s="13" t="s">
        <v>113</v>
      </c>
    </row>
    <row r="276" spans="1:5" x14ac:dyDescent="0.2">
      <c r="A276" s="6" t="s">
        <v>14</v>
      </c>
      <c r="B276" s="6" t="s">
        <v>81</v>
      </c>
      <c r="D276" s="13" t="s">
        <v>113</v>
      </c>
      <c r="E276" s="6">
        <v>14</v>
      </c>
    </row>
    <row r="277" spans="1:5" x14ac:dyDescent="0.2">
      <c r="A277" s="6" t="s">
        <v>15</v>
      </c>
      <c r="B277" s="6" t="s">
        <v>81</v>
      </c>
      <c r="D277" s="13" t="s">
        <v>113</v>
      </c>
    </row>
    <row r="278" spans="1:5" x14ac:dyDescent="0.2">
      <c r="A278" s="6" t="s">
        <v>16</v>
      </c>
      <c r="B278" s="6" t="s">
        <v>81</v>
      </c>
      <c r="D278" s="13" t="s">
        <v>113</v>
      </c>
    </row>
    <row r="279" spans="1:5" x14ac:dyDescent="0.2">
      <c r="A279" s="6" t="s">
        <v>17</v>
      </c>
      <c r="B279" s="6" t="s">
        <v>81</v>
      </c>
      <c r="D279" s="13" t="s">
        <v>113</v>
      </c>
    </row>
    <row r="280" spans="1:5" x14ac:dyDescent="0.2">
      <c r="A280" s="6" t="s">
        <v>58</v>
      </c>
      <c r="B280" s="6" t="s">
        <v>81</v>
      </c>
      <c r="D280" s="13" t="s">
        <v>113</v>
      </c>
    </row>
    <row r="281" spans="1:5" x14ac:dyDescent="0.2">
      <c r="A281" s="6" t="s">
        <v>59</v>
      </c>
      <c r="B281" s="6" t="s">
        <v>81</v>
      </c>
      <c r="D281" s="13" t="s">
        <v>113</v>
      </c>
    </row>
    <row r="282" spans="1:5" x14ac:dyDescent="0.2">
      <c r="A282" s="16" t="s">
        <v>38</v>
      </c>
      <c r="B282" s="15" t="s">
        <v>80</v>
      </c>
      <c r="D282" s="13" t="s">
        <v>126</v>
      </c>
      <c r="E282" s="15">
        <v>11</v>
      </c>
    </row>
    <row r="283" spans="1:5" x14ac:dyDescent="0.2">
      <c r="A283" s="16" t="s">
        <v>39</v>
      </c>
      <c r="B283" s="15" t="s">
        <v>124</v>
      </c>
      <c r="D283" s="13" t="s">
        <v>126</v>
      </c>
      <c r="E283" s="19"/>
    </row>
    <row r="284" spans="1:5" x14ac:dyDescent="0.2">
      <c r="A284" s="16" t="s">
        <v>40</v>
      </c>
      <c r="B284" s="15" t="s">
        <v>80</v>
      </c>
      <c r="D284" s="13" t="s">
        <v>125</v>
      </c>
      <c r="E284" s="19"/>
    </row>
    <row r="285" spans="1:5" x14ac:dyDescent="0.2">
      <c r="A285" s="16" t="s">
        <v>41</v>
      </c>
      <c r="B285" s="15" t="s">
        <v>124</v>
      </c>
      <c r="D285" s="13" t="s">
        <v>125</v>
      </c>
      <c r="E285" s="19"/>
    </row>
    <row r="286" spans="1:5" x14ac:dyDescent="0.2">
      <c r="A286" s="16" t="s">
        <v>42</v>
      </c>
      <c r="B286" s="15" t="s">
        <v>80</v>
      </c>
      <c r="D286" s="13" t="s">
        <v>125</v>
      </c>
      <c r="E286" s="19"/>
    </row>
    <row r="287" spans="1:5" x14ac:dyDescent="0.2">
      <c r="A287" s="16" t="s">
        <v>43</v>
      </c>
      <c r="B287" s="15" t="s">
        <v>124</v>
      </c>
      <c r="D287" s="13" t="s">
        <v>125</v>
      </c>
      <c r="E287" s="19"/>
    </row>
    <row r="288" spans="1:5" x14ac:dyDescent="0.2">
      <c r="A288" s="16" t="s">
        <v>44</v>
      </c>
      <c r="B288" s="15" t="s">
        <v>80</v>
      </c>
      <c r="D288" s="13" t="s">
        <v>125</v>
      </c>
      <c r="E288" s="19"/>
    </row>
    <row r="289" spans="1:5" x14ac:dyDescent="0.2">
      <c r="A289" s="16" t="s">
        <v>45</v>
      </c>
      <c r="B289" s="15" t="s">
        <v>124</v>
      </c>
      <c r="D289" s="13" t="s">
        <v>125</v>
      </c>
      <c r="E289" s="19"/>
    </row>
    <row r="290" spans="1:5" x14ac:dyDescent="0.2">
      <c r="A290" s="16" t="s">
        <v>46</v>
      </c>
      <c r="B290" s="15" t="s">
        <v>80</v>
      </c>
      <c r="D290" s="13" t="s">
        <v>125</v>
      </c>
      <c r="E290" s="19"/>
    </row>
    <row r="291" spans="1:5" x14ac:dyDescent="0.2">
      <c r="A291" s="16" t="s">
        <v>47</v>
      </c>
      <c r="B291" s="15" t="s">
        <v>124</v>
      </c>
      <c r="D291" s="13" t="s">
        <v>125</v>
      </c>
      <c r="E291" s="19"/>
    </row>
    <row r="292" spans="1:5" x14ac:dyDescent="0.2">
      <c r="A292" s="16" t="s">
        <v>48</v>
      </c>
      <c r="B292" s="15" t="s">
        <v>80</v>
      </c>
      <c r="D292" s="13" t="s">
        <v>125</v>
      </c>
      <c r="E292" s="19"/>
    </row>
    <row r="293" spans="1:5" x14ac:dyDescent="0.2">
      <c r="A293" s="16" t="s">
        <v>49</v>
      </c>
      <c r="B293" s="15" t="s">
        <v>124</v>
      </c>
      <c r="D293" s="13" t="s">
        <v>125</v>
      </c>
      <c r="E293" s="15">
        <v>14</v>
      </c>
    </row>
    <row r="294" spans="1:5" x14ac:dyDescent="0.2">
      <c r="A294" s="16" t="s">
        <v>50</v>
      </c>
      <c r="B294" s="15" t="s">
        <v>80</v>
      </c>
      <c r="D294" s="13" t="s">
        <v>125</v>
      </c>
      <c r="E294" s="19"/>
    </row>
    <row r="295" spans="1:5" x14ac:dyDescent="0.2">
      <c r="A295" s="16" t="s">
        <v>51</v>
      </c>
      <c r="B295" s="15" t="s">
        <v>124</v>
      </c>
      <c r="D295" s="13" t="s">
        <v>125</v>
      </c>
      <c r="E295" s="19"/>
    </row>
    <row r="296" spans="1:5" x14ac:dyDescent="0.2">
      <c r="A296" s="16" t="s">
        <v>52</v>
      </c>
      <c r="B296" s="15" t="s">
        <v>80</v>
      </c>
      <c r="D296" s="13" t="s">
        <v>125</v>
      </c>
      <c r="E296" s="19"/>
    </row>
    <row r="297" spans="1:5" x14ac:dyDescent="0.2">
      <c r="A297" s="16" t="s">
        <v>53</v>
      </c>
      <c r="B297" s="15" t="s">
        <v>124</v>
      </c>
      <c r="D297" s="13" t="s">
        <v>125</v>
      </c>
      <c r="E297" s="20"/>
    </row>
    <row r="298" spans="1:5" x14ac:dyDescent="0.2">
      <c r="A298" s="16" t="s">
        <v>54</v>
      </c>
      <c r="B298" s="15" t="s">
        <v>80</v>
      </c>
      <c r="D298" s="13" t="s">
        <v>125</v>
      </c>
      <c r="E298" s="19"/>
    </row>
    <row r="299" spans="1:5" x14ac:dyDescent="0.2">
      <c r="A299" s="16" t="s">
        <v>55</v>
      </c>
      <c r="B299" s="15" t="s">
        <v>124</v>
      </c>
      <c r="D299" s="13" t="s">
        <v>125</v>
      </c>
      <c r="E299" s="19"/>
    </row>
    <row r="300" spans="1:5" x14ac:dyDescent="0.2">
      <c r="A300" s="16" t="s">
        <v>56</v>
      </c>
      <c r="B300" s="15" t="s">
        <v>80</v>
      </c>
      <c r="D300" s="13" t="s">
        <v>125</v>
      </c>
      <c r="E300" s="19"/>
    </row>
    <row r="301" spans="1:5" x14ac:dyDescent="0.2">
      <c r="A301" s="16" t="s">
        <v>57</v>
      </c>
      <c r="B301" s="15" t="s">
        <v>124</v>
      </c>
      <c r="D301" s="13" t="s">
        <v>125</v>
      </c>
      <c r="E301" s="19"/>
    </row>
    <row r="302" spans="1:5" x14ac:dyDescent="0.2">
      <c r="A302" s="17" t="s">
        <v>3</v>
      </c>
      <c r="B302" s="15" t="s">
        <v>76</v>
      </c>
      <c r="D302" s="13" t="s">
        <v>125</v>
      </c>
      <c r="E302" s="15">
        <v>8</v>
      </c>
    </row>
    <row r="303" spans="1:5" x14ac:dyDescent="0.2">
      <c r="A303" s="17" t="s">
        <v>4</v>
      </c>
      <c r="B303" s="15" t="s">
        <v>76</v>
      </c>
      <c r="D303" s="13" t="s">
        <v>125</v>
      </c>
      <c r="E303" s="19"/>
    </row>
    <row r="304" spans="1:5" x14ac:dyDescent="0.2">
      <c r="A304" s="17" t="s">
        <v>5</v>
      </c>
      <c r="B304" s="15" t="s">
        <v>76</v>
      </c>
      <c r="D304" s="13" t="s">
        <v>125</v>
      </c>
      <c r="E304" s="19"/>
    </row>
    <row r="305" spans="1:5" x14ac:dyDescent="0.2">
      <c r="A305" s="17" t="s">
        <v>6</v>
      </c>
      <c r="B305" s="15" t="s">
        <v>76</v>
      </c>
      <c r="D305" s="13" t="s">
        <v>125</v>
      </c>
      <c r="E305" s="19"/>
    </row>
    <row r="306" spans="1:5" x14ac:dyDescent="0.2">
      <c r="A306" s="17" t="s">
        <v>7</v>
      </c>
      <c r="B306" s="15" t="s">
        <v>76</v>
      </c>
      <c r="D306" s="13" t="s">
        <v>125</v>
      </c>
      <c r="E306" s="19"/>
    </row>
    <row r="307" spans="1:5" x14ac:dyDescent="0.2">
      <c r="A307" s="17" t="s">
        <v>8</v>
      </c>
      <c r="B307" s="15" t="s">
        <v>76</v>
      </c>
      <c r="D307" s="13" t="s">
        <v>125</v>
      </c>
      <c r="E307" s="15">
        <v>10</v>
      </c>
    </row>
    <row r="308" spans="1:5" x14ac:dyDescent="0.2">
      <c r="A308" s="17" t="s">
        <v>9</v>
      </c>
      <c r="B308" s="15" t="s">
        <v>76</v>
      </c>
      <c r="D308" s="13" t="s">
        <v>125</v>
      </c>
      <c r="E308" s="19"/>
    </row>
    <row r="309" spans="1:5" x14ac:dyDescent="0.2">
      <c r="A309" s="17" t="s">
        <v>10</v>
      </c>
      <c r="B309" s="15" t="s">
        <v>76</v>
      </c>
      <c r="D309" s="13" t="s">
        <v>125</v>
      </c>
      <c r="E309" s="19"/>
    </row>
    <row r="310" spans="1:5" x14ac:dyDescent="0.2">
      <c r="A310" s="17" t="s">
        <v>11</v>
      </c>
      <c r="B310" s="15" t="s">
        <v>76</v>
      </c>
      <c r="D310" s="13" t="s">
        <v>125</v>
      </c>
      <c r="E310" s="19"/>
    </row>
    <row r="311" spans="1:5" x14ac:dyDescent="0.2">
      <c r="A311" s="17" t="s">
        <v>12</v>
      </c>
      <c r="B311" s="15" t="s">
        <v>76</v>
      </c>
      <c r="D311" s="13" t="s">
        <v>125</v>
      </c>
      <c r="E311" s="19"/>
    </row>
    <row r="312" spans="1:5" x14ac:dyDescent="0.2">
      <c r="A312" s="18" t="s">
        <v>18</v>
      </c>
      <c r="B312" s="15" t="s">
        <v>78</v>
      </c>
      <c r="D312" s="13" t="s">
        <v>125</v>
      </c>
      <c r="E312" s="21">
        <v>10</v>
      </c>
    </row>
    <row r="313" spans="1:5" x14ac:dyDescent="0.2">
      <c r="A313" s="18" t="s">
        <v>19</v>
      </c>
      <c r="B313" s="15" t="s">
        <v>79</v>
      </c>
      <c r="D313" s="13" t="s">
        <v>125</v>
      </c>
      <c r="E313" s="15"/>
    </row>
    <row r="314" spans="1:5" x14ac:dyDescent="0.2">
      <c r="A314" s="18" t="s">
        <v>20</v>
      </c>
      <c r="B314" s="15" t="s">
        <v>78</v>
      </c>
      <c r="D314" s="13" t="s">
        <v>125</v>
      </c>
      <c r="E314" s="15"/>
    </row>
    <row r="315" spans="1:5" x14ac:dyDescent="0.2">
      <c r="A315" s="18" t="s">
        <v>21</v>
      </c>
      <c r="B315" s="15" t="s">
        <v>79</v>
      </c>
      <c r="D315" s="13" t="s">
        <v>125</v>
      </c>
      <c r="E315" s="15"/>
    </row>
    <row r="316" spans="1:5" x14ac:dyDescent="0.2">
      <c r="A316" s="18" t="s">
        <v>22</v>
      </c>
      <c r="B316" s="15" t="s">
        <v>78</v>
      </c>
      <c r="D316" s="13" t="s">
        <v>125</v>
      </c>
      <c r="E316" s="15"/>
    </row>
    <row r="317" spans="1:5" x14ac:dyDescent="0.2">
      <c r="A317" s="18" t="s">
        <v>23</v>
      </c>
      <c r="B317" s="15" t="s">
        <v>79</v>
      </c>
      <c r="D317" s="13" t="s">
        <v>125</v>
      </c>
      <c r="E317" s="15"/>
    </row>
    <row r="318" spans="1:5" x14ac:dyDescent="0.2">
      <c r="A318" s="18" t="s">
        <v>24</v>
      </c>
      <c r="B318" s="15" t="s">
        <v>78</v>
      </c>
      <c r="D318" s="13" t="s">
        <v>125</v>
      </c>
      <c r="E318" s="15"/>
    </row>
    <row r="319" spans="1:5" x14ac:dyDescent="0.2">
      <c r="A319" s="18" t="s">
        <v>25</v>
      </c>
      <c r="B319" s="15" t="s">
        <v>79</v>
      </c>
      <c r="D319" s="13" t="s">
        <v>125</v>
      </c>
      <c r="E319" s="15"/>
    </row>
    <row r="320" spans="1:5" x14ac:dyDescent="0.2">
      <c r="A320" s="18" t="s">
        <v>26</v>
      </c>
      <c r="B320" s="15" t="s">
        <v>78</v>
      </c>
      <c r="D320" s="13" t="s">
        <v>125</v>
      </c>
      <c r="E320" s="15"/>
    </row>
    <row r="321" spans="1:5" x14ac:dyDescent="0.2">
      <c r="A321" s="18" t="s">
        <v>27</v>
      </c>
      <c r="B321" s="15" t="s">
        <v>79</v>
      </c>
      <c r="D321" s="13" t="s">
        <v>125</v>
      </c>
      <c r="E321" s="15"/>
    </row>
    <row r="322" spans="1:5" x14ac:dyDescent="0.2">
      <c r="A322" s="18" t="s">
        <v>28</v>
      </c>
      <c r="B322" s="15" t="s">
        <v>78</v>
      </c>
      <c r="D322" s="13" t="s">
        <v>125</v>
      </c>
      <c r="E322" s="21">
        <v>10</v>
      </c>
    </row>
    <row r="323" spans="1:5" x14ac:dyDescent="0.2">
      <c r="A323" s="18" t="s">
        <v>29</v>
      </c>
      <c r="B323" s="15" t="s">
        <v>79</v>
      </c>
      <c r="D323" s="13" t="s">
        <v>125</v>
      </c>
      <c r="E323" s="15"/>
    </row>
    <row r="324" spans="1:5" x14ac:dyDescent="0.2">
      <c r="A324" s="18" t="s">
        <v>30</v>
      </c>
      <c r="B324" s="15" t="s">
        <v>78</v>
      </c>
      <c r="D324" s="13" t="s">
        <v>125</v>
      </c>
      <c r="E324" s="15"/>
    </row>
    <row r="325" spans="1:5" x14ac:dyDescent="0.2">
      <c r="A325" s="18" t="s">
        <v>31</v>
      </c>
      <c r="B325" s="15" t="s">
        <v>79</v>
      </c>
      <c r="D325" s="13" t="s">
        <v>125</v>
      </c>
      <c r="E325" s="15"/>
    </row>
    <row r="326" spans="1:5" x14ac:dyDescent="0.2">
      <c r="A326" s="18" t="s">
        <v>32</v>
      </c>
      <c r="B326" s="15" t="s">
        <v>78</v>
      </c>
      <c r="D326" s="13" t="s">
        <v>125</v>
      </c>
      <c r="E326" s="15"/>
    </row>
    <row r="327" spans="1:5" x14ac:dyDescent="0.2">
      <c r="A327" s="18" t="s">
        <v>33</v>
      </c>
      <c r="B327" s="15" t="s">
        <v>79</v>
      </c>
      <c r="D327" s="13" t="s">
        <v>125</v>
      </c>
      <c r="E327" s="15"/>
    </row>
    <row r="328" spans="1:5" x14ac:dyDescent="0.2">
      <c r="A328" s="18" t="s">
        <v>34</v>
      </c>
      <c r="B328" s="15" t="s">
        <v>78</v>
      </c>
      <c r="D328" s="13" t="s">
        <v>125</v>
      </c>
      <c r="E328" s="15"/>
    </row>
    <row r="329" spans="1:5" x14ac:dyDescent="0.2">
      <c r="A329" s="18" t="s">
        <v>35</v>
      </c>
      <c r="B329" s="15" t="s">
        <v>79</v>
      </c>
      <c r="D329" s="13" t="s">
        <v>125</v>
      </c>
      <c r="E329" s="15"/>
    </row>
    <row r="330" spans="1:5" x14ac:dyDescent="0.2">
      <c r="A330" s="18" t="s">
        <v>36</v>
      </c>
      <c r="B330" s="15" t="s">
        <v>78</v>
      </c>
      <c r="D330" s="13" t="s">
        <v>125</v>
      </c>
      <c r="E330" s="15"/>
    </row>
    <row r="331" spans="1:5" x14ac:dyDescent="0.2">
      <c r="A331" s="18" t="s">
        <v>37</v>
      </c>
      <c r="B331" s="15" t="s">
        <v>79</v>
      </c>
      <c r="D331" s="13" t="s">
        <v>125</v>
      </c>
      <c r="E331" s="15"/>
    </row>
    <row r="332" spans="1:5" x14ac:dyDescent="0.2">
      <c r="A332" s="15" t="s">
        <v>14</v>
      </c>
      <c r="B332" s="15" t="s">
        <v>81</v>
      </c>
      <c r="D332" s="13" t="s">
        <v>125</v>
      </c>
      <c r="E332" s="15">
        <v>10</v>
      </c>
    </row>
    <row r="333" spans="1:5" x14ac:dyDescent="0.2">
      <c r="A333" s="15" t="s">
        <v>15</v>
      </c>
      <c r="B333" s="15" t="s">
        <v>81</v>
      </c>
      <c r="D333" s="13" t="s">
        <v>125</v>
      </c>
      <c r="E333" s="19"/>
    </row>
    <row r="334" spans="1:5" x14ac:dyDescent="0.2">
      <c r="A334" s="15" t="s">
        <v>16</v>
      </c>
      <c r="B334" s="15" t="s">
        <v>81</v>
      </c>
      <c r="D334" s="13" t="s">
        <v>125</v>
      </c>
      <c r="E334" s="19"/>
    </row>
    <row r="335" spans="1:5" x14ac:dyDescent="0.2">
      <c r="A335" s="15" t="s">
        <v>17</v>
      </c>
      <c r="B335" s="15" t="s">
        <v>81</v>
      </c>
      <c r="D335" s="13" t="s">
        <v>125</v>
      </c>
      <c r="E335" s="19"/>
    </row>
    <row r="336" spans="1:5" x14ac:dyDescent="0.2">
      <c r="A336" s="15" t="s">
        <v>58</v>
      </c>
      <c r="B336" s="15" t="s">
        <v>81</v>
      </c>
      <c r="D336" s="13" t="s">
        <v>125</v>
      </c>
      <c r="E336" s="19"/>
    </row>
    <row r="337" spans="1:6" x14ac:dyDescent="0.2">
      <c r="A337" s="15" t="s">
        <v>59</v>
      </c>
      <c r="B337" s="15" t="s">
        <v>81</v>
      </c>
      <c r="D337" s="13" t="s">
        <v>125</v>
      </c>
    </row>
    <row r="338" spans="1:6" x14ac:dyDescent="0.2">
      <c r="A338" s="23" t="s">
        <v>38</v>
      </c>
      <c r="B338" s="6" t="s">
        <v>77</v>
      </c>
      <c r="C338" s="6"/>
      <c r="D338" s="24" t="s">
        <v>138</v>
      </c>
      <c r="E338" s="6">
        <v>1.01</v>
      </c>
      <c r="F338" s="6"/>
    </row>
    <row r="339" spans="1:6" x14ac:dyDescent="0.2">
      <c r="A339" s="23" t="s">
        <v>39</v>
      </c>
      <c r="B339" s="6" t="s">
        <v>77</v>
      </c>
      <c r="C339" s="6"/>
      <c r="D339" s="24" t="s">
        <v>138</v>
      </c>
      <c r="E339" s="6"/>
      <c r="F339" s="6"/>
    </row>
    <row r="340" spans="1:6" x14ac:dyDescent="0.2">
      <c r="A340" s="23" t="s">
        <v>40</v>
      </c>
      <c r="B340" s="6" t="s">
        <v>77</v>
      </c>
      <c r="C340" s="6"/>
      <c r="D340" s="24" t="s">
        <v>137</v>
      </c>
      <c r="E340" s="6"/>
      <c r="F340" s="6"/>
    </row>
    <row r="341" spans="1:6" x14ac:dyDescent="0.2">
      <c r="A341" s="23" t="s">
        <v>41</v>
      </c>
      <c r="B341" s="6" t="s">
        <v>77</v>
      </c>
      <c r="C341" s="6"/>
      <c r="D341" s="24" t="s">
        <v>137</v>
      </c>
      <c r="E341" s="6"/>
      <c r="F341" s="6"/>
    </row>
    <row r="342" spans="1:6" x14ac:dyDescent="0.2">
      <c r="A342" s="23" t="s">
        <v>42</v>
      </c>
      <c r="B342" s="6" t="s">
        <v>77</v>
      </c>
      <c r="C342" s="6"/>
      <c r="D342" s="24" t="s">
        <v>137</v>
      </c>
      <c r="E342" s="6"/>
      <c r="F342" s="6"/>
    </row>
    <row r="343" spans="1:6" x14ac:dyDescent="0.2">
      <c r="A343" s="23" t="s">
        <v>43</v>
      </c>
      <c r="B343" s="6" t="s">
        <v>77</v>
      </c>
      <c r="C343" s="6"/>
      <c r="D343" s="24" t="s">
        <v>137</v>
      </c>
      <c r="E343" s="6"/>
      <c r="F343" s="6"/>
    </row>
    <row r="344" spans="1:6" x14ac:dyDescent="0.2">
      <c r="A344" s="23" t="s">
        <v>44</v>
      </c>
      <c r="B344" s="6" t="s">
        <v>77</v>
      </c>
      <c r="C344" s="6"/>
      <c r="D344" s="24" t="s">
        <v>137</v>
      </c>
      <c r="E344" s="6"/>
      <c r="F344" s="6"/>
    </row>
    <row r="345" spans="1:6" x14ac:dyDescent="0.2">
      <c r="A345" s="23" t="s">
        <v>45</v>
      </c>
      <c r="B345" s="6" t="s">
        <v>77</v>
      </c>
      <c r="C345" s="6"/>
      <c r="D345" s="24" t="s">
        <v>137</v>
      </c>
      <c r="E345" s="6"/>
      <c r="F345" s="6"/>
    </row>
    <row r="346" spans="1:6" x14ac:dyDescent="0.2">
      <c r="A346" s="23" t="s">
        <v>46</v>
      </c>
      <c r="B346" s="6" t="s">
        <v>77</v>
      </c>
      <c r="C346" s="6"/>
      <c r="D346" s="24" t="s">
        <v>137</v>
      </c>
      <c r="E346" s="6"/>
      <c r="F346" s="6"/>
    </row>
    <row r="347" spans="1:6" x14ac:dyDescent="0.2">
      <c r="A347" s="23" t="s">
        <v>47</v>
      </c>
      <c r="B347" s="6" t="s">
        <v>77</v>
      </c>
      <c r="C347" s="6"/>
      <c r="D347" s="24" t="s">
        <v>137</v>
      </c>
      <c r="E347" s="6"/>
      <c r="F347" s="6"/>
    </row>
    <row r="348" spans="1:6" x14ac:dyDescent="0.2">
      <c r="A348" s="23" t="s">
        <v>48</v>
      </c>
      <c r="B348" s="6" t="s">
        <v>77</v>
      </c>
      <c r="C348" s="6"/>
      <c r="D348" s="24" t="s">
        <v>137</v>
      </c>
      <c r="E348" s="6"/>
      <c r="F348" s="6"/>
    </row>
    <row r="349" spans="1:6" x14ac:dyDescent="0.2">
      <c r="A349" s="23" t="s">
        <v>49</v>
      </c>
      <c r="B349" s="6" t="s">
        <v>77</v>
      </c>
      <c r="C349" s="6"/>
      <c r="D349" s="24" t="s">
        <v>137</v>
      </c>
      <c r="E349" s="6"/>
      <c r="F349" s="6"/>
    </row>
    <row r="350" spans="1:6" x14ac:dyDescent="0.2">
      <c r="A350" s="23" t="s">
        <v>50</v>
      </c>
      <c r="B350" s="6" t="s">
        <v>77</v>
      </c>
      <c r="C350" s="6"/>
      <c r="D350" s="24" t="s">
        <v>137</v>
      </c>
      <c r="E350" s="6"/>
      <c r="F350" s="6"/>
    </row>
    <row r="351" spans="1:6" x14ac:dyDescent="0.2">
      <c r="A351" s="23" t="s">
        <v>51</v>
      </c>
      <c r="B351" s="6" t="s">
        <v>77</v>
      </c>
      <c r="C351" s="6"/>
      <c r="D351" s="24" t="s">
        <v>137</v>
      </c>
      <c r="E351" s="6"/>
      <c r="F351" s="6"/>
    </row>
    <row r="352" spans="1:6" x14ac:dyDescent="0.2">
      <c r="A352" s="23" t="s">
        <v>52</v>
      </c>
      <c r="B352" s="6" t="s">
        <v>77</v>
      </c>
      <c r="C352" s="6"/>
      <c r="D352" s="24" t="s">
        <v>137</v>
      </c>
      <c r="E352" s="6"/>
      <c r="F352" s="6"/>
    </row>
    <row r="353" spans="1:6" x14ac:dyDescent="0.2">
      <c r="A353" s="23" t="s">
        <v>53</v>
      </c>
      <c r="B353" s="6" t="s">
        <v>77</v>
      </c>
      <c r="C353" s="6"/>
      <c r="D353" s="24" t="s">
        <v>137</v>
      </c>
      <c r="E353" s="6"/>
      <c r="F353" s="6"/>
    </row>
    <row r="354" spans="1:6" x14ac:dyDescent="0.2">
      <c r="A354" s="23" t="s">
        <v>131</v>
      </c>
      <c r="B354" s="6" t="s">
        <v>77</v>
      </c>
      <c r="C354" s="6"/>
      <c r="D354" s="24" t="s">
        <v>137</v>
      </c>
      <c r="E354" s="6"/>
      <c r="F354" s="6"/>
    </row>
    <row r="355" spans="1:6" x14ac:dyDescent="0.2">
      <c r="A355" s="23" t="s">
        <v>132</v>
      </c>
      <c r="B355" s="6" t="s">
        <v>77</v>
      </c>
      <c r="C355" s="6"/>
      <c r="D355" s="24" t="s">
        <v>137</v>
      </c>
      <c r="E355" s="6"/>
      <c r="F355" s="6"/>
    </row>
    <row r="356" spans="1:6" x14ac:dyDescent="0.2">
      <c r="A356" s="23" t="s">
        <v>133</v>
      </c>
      <c r="B356" s="6" t="s">
        <v>77</v>
      </c>
      <c r="C356" s="6"/>
      <c r="D356" s="24" t="s">
        <v>137</v>
      </c>
      <c r="E356" s="6"/>
      <c r="F356" s="6"/>
    </row>
    <row r="357" spans="1:6" x14ac:dyDescent="0.2">
      <c r="A357" s="23" t="s">
        <v>134</v>
      </c>
      <c r="B357" s="6" t="s">
        <v>77</v>
      </c>
      <c r="C357" s="6"/>
      <c r="D357" s="24" t="s">
        <v>137</v>
      </c>
      <c r="E357" s="6"/>
      <c r="F357" s="6"/>
    </row>
    <row r="358" spans="1:6" x14ac:dyDescent="0.2">
      <c r="A358" s="23" t="s">
        <v>56</v>
      </c>
      <c r="B358" s="6" t="s">
        <v>77</v>
      </c>
      <c r="C358" s="6"/>
      <c r="D358" s="24" t="s">
        <v>137</v>
      </c>
      <c r="E358" s="6"/>
      <c r="F358" s="6"/>
    </row>
    <row r="359" spans="1:6" x14ac:dyDescent="0.2">
      <c r="A359" s="23" t="s">
        <v>57</v>
      </c>
      <c r="B359" s="6" t="s">
        <v>77</v>
      </c>
      <c r="C359" s="6"/>
      <c r="D359" s="24" t="s">
        <v>137</v>
      </c>
      <c r="E359" s="6"/>
      <c r="F359" s="6"/>
    </row>
    <row r="360" spans="1:6" x14ac:dyDescent="0.2">
      <c r="A360" s="25" t="s">
        <v>3</v>
      </c>
      <c r="B360" s="6" t="s">
        <v>76</v>
      </c>
      <c r="C360" s="6"/>
      <c r="D360" s="24" t="s">
        <v>137</v>
      </c>
      <c r="E360" s="6"/>
      <c r="F360" s="6"/>
    </row>
    <row r="361" spans="1:6" x14ac:dyDescent="0.2">
      <c r="A361" s="25" t="s">
        <v>4</v>
      </c>
      <c r="B361" s="6" t="s">
        <v>76</v>
      </c>
      <c r="C361" s="6"/>
      <c r="D361" s="24" t="s">
        <v>137</v>
      </c>
      <c r="E361" s="6">
        <v>1.01</v>
      </c>
      <c r="F361" s="6"/>
    </row>
    <row r="362" spans="1:6" x14ac:dyDescent="0.2">
      <c r="A362" s="25" t="s">
        <v>5</v>
      </c>
      <c r="B362" s="6" t="s">
        <v>76</v>
      </c>
      <c r="C362" s="6"/>
      <c r="D362" s="24" t="s">
        <v>137</v>
      </c>
      <c r="E362" s="6"/>
      <c r="F362" s="6"/>
    </row>
    <row r="363" spans="1:6" x14ac:dyDescent="0.2">
      <c r="A363" s="25" t="s">
        <v>6</v>
      </c>
      <c r="B363" s="6" t="s">
        <v>76</v>
      </c>
      <c r="C363" s="6"/>
      <c r="D363" s="24" t="s">
        <v>137</v>
      </c>
      <c r="E363" s="6"/>
      <c r="F363" s="6"/>
    </row>
    <row r="364" spans="1:6" x14ac:dyDescent="0.2">
      <c r="A364" s="25" t="s">
        <v>7</v>
      </c>
      <c r="B364" s="6" t="s">
        <v>76</v>
      </c>
      <c r="C364" s="6"/>
      <c r="D364" s="24" t="s">
        <v>137</v>
      </c>
      <c r="E364" s="6"/>
      <c r="F364" s="6"/>
    </row>
    <row r="365" spans="1:6" x14ac:dyDescent="0.2">
      <c r="A365" s="25" t="s">
        <v>8</v>
      </c>
      <c r="B365" s="6" t="s">
        <v>76</v>
      </c>
      <c r="C365" s="6"/>
      <c r="D365" s="24" t="s">
        <v>137</v>
      </c>
      <c r="E365" s="6"/>
      <c r="F365" s="6"/>
    </row>
    <row r="366" spans="1:6" x14ac:dyDescent="0.2">
      <c r="A366" s="25" t="s">
        <v>9</v>
      </c>
      <c r="B366" s="6" t="s">
        <v>76</v>
      </c>
      <c r="C366" s="6"/>
      <c r="D366" s="24" t="s">
        <v>137</v>
      </c>
      <c r="E366" s="6"/>
      <c r="F366" s="6"/>
    </row>
    <row r="367" spans="1:6" x14ac:dyDescent="0.2">
      <c r="A367" s="25" t="s">
        <v>10</v>
      </c>
      <c r="B367" s="6" t="s">
        <v>76</v>
      </c>
      <c r="C367" s="6"/>
      <c r="D367" s="24" t="s">
        <v>137</v>
      </c>
      <c r="E367" s="6"/>
      <c r="F367" s="6"/>
    </row>
    <row r="368" spans="1:6" x14ac:dyDescent="0.2">
      <c r="A368" s="25" t="s">
        <v>11</v>
      </c>
      <c r="B368" s="6" t="s">
        <v>76</v>
      </c>
      <c r="C368" s="6"/>
      <c r="D368" s="24" t="s">
        <v>137</v>
      </c>
      <c r="E368" s="6"/>
      <c r="F368" s="6"/>
    </row>
    <row r="369" spans="1:6" x14ac:dyDescent="0.2">
      <c r="A369" s="25" t="s">
        <v>12</v>
      </c>
      <c r="B369" s="6" t="s">
        <v>76</v>
      </c>
      <c r="C369" s="6"/>
      <c r="D369" s="24" t="s">
        <v>137</v>
      </c>
      <c r="E369" s="6"/>
      <c r="F369" s="6"/>
    </row>
    <row r="370" spans="1:6" x14ac:dyDescent="0.2">
      <c r="A370" s="22" t="s">
        <v>18</v>
      </c>
      <c r="B370" s="6" t="s">
        <v>157</v>
      </c>
      <c r="C370" s="6"/>
      <c r="D370" s="24" t="s">
        <v>137</v>
      </c>
      <c r="E370" s="6"/>
      <c r="F370" s="6"/>
    </row>
    <row r="371" spans="1:6" x14ac:dyDescent="0.2">
      <c r="A371" s="22" t="s">
        <v>19</v>
      </c>
      <c r="B371" s="6" t="s">
        <v>157</v>
      </c>
      <c r="C371" s="6"/>
      <c r="D371" s="24" t="s">
        <v>137</v>
      </c>
      <c r="E371" s="6"/>
      <c r="F371" s="6"/>
    </row>
    <row r="372" spans="1:6" x14ac:dyDescent="0.2">
      <c r="A372" s="22" t="s">
        <v>20</v>
      </c>
      <c r="B372" s="6" t="s">
        <v>157</v>
      </c>
      <c r="C372" s="6"/>
      <c r="D372" s="24" t="s">
        <v>137</v>
      </c>
      <c r="E372" s="6">
        <v>8.5</v>
      </c>
      <c r="F372" s="6"/>
    </row>
    <row r="373" spans="1:6" x14ac:dyDescent="0.2">
      <c r="A373" s="22" t="s">
        <v>21</v>
      </c>
      <c r="B373" s="6" t="s">
        <v>157</v>
      </c>
      <c r="C373" s="6"/>
      <c r="D373" s="24" t="s">
        <v>137</v>
      </c>
      <c r="E373" s="6"/>
      <c r="F373" s="6"/>
    </row>
    <row r="374" spans="1:6" x14ac:dyDescent="0.2">
      <c r="A374" s="22" t="s">
        <v>22</v>
      </c>
      <c r="B374" s="6" t="s">
        <v>157</v>
      </c>
      <c r="C374" s="6"/>
      <c r="D374" s="24" t="s">
        <v>137</v>
      </c>
      <c r="E374" s="6"/>
      <c r="F374" s="6"/>
    </row>
    <row r="375" spans="1:6" x14ac:dyDescent="0.2">
      <c r="A375" s="22" t="s">
        <v>23</v>
      </c>
      <c r="B375" s="6" t="s">
        <v>157</v>
      </c>
      <c r="C375" s="6"/>
      <c r="D375" s="24" t="s">
        <v>137</v>
      </c>
      <c r="E375" s="6"/>
      <c r="F375" s="6"/>
    </row>
    <row r="376" spans="1:6" x14ac:dyDescent="0.2">
      <c r="A376" s="22" t="s">
        <v>24</v>
      </c>
      <c r="B376" s="6" t="s">
        <v>157</v>
      </c>
      <c r="C376" s="6"/>
      <c r="D376" s="24" t="s">
        <v>137</v>
      </c>
      <c r="E376" s="6"/>
      <c r="F376" s="6"/>
    </row>
    <row r="377" spans="1:6" x14ac:dyDescent="0.2">
      <c r="A377" s="22" t="s">
        <v>25</v>
      </c>
      <c r="B377" s="6" t="s">
        <v>157</v>
      </c>
      <c r="C377" s="6"/>
      <c r="D377" s="24" t="s">
        <v>137</v>
      </c>
      <c r="E377" s="6"/>
      <c r="F377" s="6"/>
    </row>
    <row r="378" spans="1:6" x14ac:dyDescent="0.2">
      <c r="A378" s="22" t="s">
        <v>26</v>
      </c>
      <c r="B378" s="6" t="s">
        <v>157</v>
      </c>
      <c r="C378" s="6"/>
      <c r="D378" s="24" t="s">
        <v>137</v>
      </c>
      <c r="E378" s="6"/>
      <c r="F378" s="6"/>
    </row>
    <row r="379" spans="1:6" x14ac:dyDescent="0.2">
      <c r="A379" s="22" t="s">
        <v>27</v>
      </c>
      <c r="B379" s="6" t="s">
        <v>157</v>
      </c>
      <c r="C379" s="6"/>
      <c r="D379" s="24" t="s">
        <v>137</v>
      </c>
      <c r="E379" s="6"/>
      <c r="F379" s="6"/>
    </row>
    <row r="380" spans="1:6" x14ac:dyDescent="0.2">
      <c r="A380" s="22" t="s">
        <v>28</v>
      </c>
      <c r="B380" s="6" t="s">
        <v>157</v>
      </c>
      <c r="C380" s="6"/>
      <c r="D380" s="24" t="s">
        <v>137</v>
      </c>
      <c r="E380" s="6"/>
      <c r="F380" s="6"/>
    </row>
    <row r="381" spans="1:6" x14ac:dyDescent="0.2">
      <c r="A381" s="22" t="s">
        <v>29</v>
      </c>
      <c r="B381" s="6" t="s">
        <v>157</v>
      </c>
      <c r="C381" s="6"/>
      <c r="D381" s="24" t="s">
        <v>137</v>
      </c>
      <c r="E381" s="6"/>
      <c r="F381" s="6"/>
    </row>
    <row r="382" spans="1:6" x14ac:dyDescent="0.2">
      <c r="A382" s="22" t="s">
        <v>30</v>
      </c>
      <c r="B382" s="6" t="s">
        <v>157</v>
      </c>
      <c r="C382" s="6"/>
      <c r="D382" s="24" t="s">
        <v>137</v>
      </c>
      <c r="E382" s="6"/>
      <c r="F382" s="6"/>
    </row>
    <row r="383" spans="1:6" x14ac:dyDescent="0.2">
      <c r="A383" s="22" t="s">
        <v>31</v>
      </c>
      <c r="B383" s="6" t="s">
        <v>157</v>
      </c>
      <c r="C383" s="6"/>
      <c r="D383" s="24" t="s">
        <v>137</v>
      </c>
      <c r="E383" s="6"/>
      <c r="F383" s="6"/>
    </row>
    <row r="384" spans="1:6" x14ac:dyDescent="0.2">
      <c r="A384" s="22" t="s">
        <v>32</v>
      </c>
      <c r="B384" s="6" t="s">
        <v>157</v>
      </c>
      <c r="C384" s="6"/>
      <c r="D384" s="24" t="s">
        <v>137</v>
      </c>
      <c r="E384" s="6"/>
      <c r="F384" s="6"/>
    </row>
    <row r="385" spans="1:6" x14ac:dyDescent="0.2">
      <c r="A385" s="22" t="s">
        <v>33</v>
      </c>
      <c r="B385" s="6" t="s">
        <v>157</v>
      </c>
      <c r="C385" s="6"/>
      <c r="D385" s="24" t="s">
        <v>137</v>
      </c>
      <c r="E385" s="6"/>
      <c r="F385" s="6"/>
    </row>
    <row r="386" spans="1:6" x14ac:dyDescent="0.2">
      <c r="A386" s="22" t="s">
        <v>34</v>
      </c>
      <c r="B386" s="6" t="s">
        <v>157</v>
      </c>
      <c r="C386" s="6"/>
      <c r="D386" s="24" t="s">
        <v>137</v>
      </c>
      <c r="E386" s="6"/>
      <c r="F386" s="6"/>
    </row>
    <row r="387" spans="1:6" x14ac:dyDescent="0.2">
      <c r="A387" s="22" t="s">
        <v>35</v>
      </c>
      <c r="B387" s="6" t="s">
        <v>157</v>
      </c>
      <c r="C387" s="6"/>
      <c r="D387" s="24" t="s">
        <v>137</v>
      </c>
      <c r="E387" s="6"/>
      <c r="F387" s="6"/>
    </row>
    <row r="388" spans="1:6" x14ac:dyDescent="0.2">
      <c r="A388" s="22" t="s">
        <v>36</v>
      </c>
      <c r="B388" s="6" t="s">
        <v>157</v>
      </c>
      <c r="C388" s="6"/>
      <c r="D388" s="24" t="s">
        <v>137</v>
      </c>
      <c r="E388" s="6"/>
      <c r="F388" s="6"/>
    </row>
    <row r="389" spans="1:6" x14ac:dyDescent="0.2">
      <c r="A389" s="22" t="s">
        <v>37</v>
      </c>
      <c r="B389" s="6" t="s">
        <v>157</v>
      </c>
      <c r="C389" s="6"/>
      <c r="D389" s="24" t="s">
        <v>137</v>
      </c>
      <c r="E389" s="6"/>
      <c r="F389" s="6"/>
    </row>
    <row r="390" spans="1:6" x14ac:dyDescent="0.2">
      <c r="A390" s="6" t="s">
        <v>14</v>
      </c>
      <c r="B390" s="6" t="s">
        <v>81</v>
      </c>
      <c r="C390" s="6"/>
      <c r="D390" s="24" t="s">
        <v>137</v>
      </c>
      <c r="E390" s="6"/>
      <c r="F390" s="6"/>
    </row>
    <row r="391" spans="1:6" x14ac:dyDescent="0.2">
      <c r="A391" s="6" t="s">
        <v>15</v>
      </c>
      <c r="B391" s="6" t="s">
        <v>81</v>
      </c>
      <c r="C391" s="6"/>
      <c r="D391" s="24" t="s">
        <v>137</v>
      </c>
      <c r="E391" s="6"/>
      <c r="F391" s="6"/>
    </row>
    <row r="392" spans="1:6" x14ac:dyDescent="0.2">
      <c r="A392" s="6" t="s">
        <v>16</v>
      </c>
      <c r="B392" s="6" t="s">
        <v>81</v>
      </c>
      <c r="C392" s="6"/>
      <c r="D392" s="24" t="s">
        <v>137</v>
      </c>
      <c r="E392" s="6"/>
      <c r="F392" s="6"/>
    </row>
    <row r="393" spans="1:6" x14ac:dyDescent="0.2">
      <c r="A393" s="6" t="s">
        <v>17</v>
      </c>
      <c r="B393" s="6" t="s">
        <v>81</v>
      </c>
      <c r="C393" s="6"/>
      <c r="D393" s="24" t="s">
        <v>137</v>
      </c>
      <c r="E393" s="6"/>
      <c r="F393" s="6"/>
    </row>
    <row r="394" spans="1:6" x14ac:dyDescent="0.2">
      <c r="A394" s="6" t="s">
        <v>58</v>
      </c>
      <c r="B394" s="6" t="s">
        <v>81</v>
      </c>
      <c r="C394" s="6"/>
      <c r="D394" s="24" t="s">
        <v>137</v>
      </c>
      <c r="E394" s="6"/>
      <c r="F394" s="6"/>
    </row>
    <row r="395" spans="1:6" x14ac:dyDescent="0.2">
      <c r="A395" s="6" t="s">
        <v>59</v>
      </c>
      <c r="B395" s="6" t="s">
        <v>81</v>
      </c>
      <c r="C395" s="6"/>
      <c r="D395" s="24" t="s">
        <v>137</v>
      </c>
      <c r="E395" s="6"/>
      <c r="F395" s="6"/>
    </row>
    <row r="396" spans="1:6" x14ac:dyDescent="0.2">
      <c r="A396" s="6"/>
      <c r="B396" s="6"/>
      <c r="C396" s="6"/>
      <c r="D396" s="6"/>
      <c r="E396" s="6"/>
      <c r="F396" s="6"/>
    </row>
    <row r="397" spans="1:6" x14ac:dyDescent="0.2">
      <c r="A397" s="6"/>
      <c r="B397" s="6"/>
      <c r="C397" s="6"/>
      <c r="D397" s="6"/>
      <c r="E397" s="6"/>
      <c r="F397" s="6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3"/>
  <sheetViews>
    <sheetView topLeftCell="A86" workbookViewId="0">
      <selection activeCell="E1" sqref="E1"/>
    </sheetView>
  </sheetViews>
  <sheetFormatPr baseColWidth="10" defaultColWidth="8.83203125" defaultRowHeight="15" x14ac:dyDescent="0.2"/>
  <cols>
    <col min="1" max="1" width="22.33203125" customWidth="1"/>
  </cols>
  <sheetData>
    <row r="1" spans="1:12" x14ac:dyDescent="0.2">
      <c r="A1" t="s">
        <v>0</v>
      </c>
      <c r="B1" s="6" t="s">
        <v>160</v>
      </c>
      <c r="C1" t="s">
        <v>70</v>
      </c>
      <c r="D1" s="6" t="s">
        <v>158</v>
      </c>
      <c r="E1" t="s">
        <v>161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s="6" t="s">
        <v>159</v>
      </c>
    </row>
    <row r="2" spans="1:12" x14ac:dyDescent="0.2">
      <c r="A2" s="3" t="s">
        <v>38</v>
      </c>
      <c r="B2" t="s">
        <v>77</v>
      </c>
      <c r="C2" t="s">
        <v>71</v>
      </c>
      <c r="E2" t="s">
        <v>90</v>
      </c>
      <c r="F2">
        <v>5.2</v>
      </c>
      <c r="G2">
        <v>5.6</v>
      </c>
      <c r="H2">
        <v>3.6</v>
      </c>
      <c r="I2">
        <v>3.8</v>
      </c>
      <c r="J2">
        <v>3</v>
      </c>
      <c r="K2">
        <v>2</v>
      </c>
      <c r="L2">
        <f>AVERAGE(F2:J2)*5</f>
        <v>21.200000000000003</v>
      </c>
    </row>
    <row r="3" spans="1:12" x14ac:dyDescent="0.2">
      <c r="A3" s="3" t="s">
        <v>39</v>
      </c>
      <c r="B3" t="s">
        <v>77</v>
      </c>
      <c r="C3" t="s">
        <v>71</v>
      </c>
      <c r="E3" t="s">
        <v>90</v>
      </c>
    </row>
    <row r="4" spans="1:12" x14ac:dyDescent="0.2">
      <c r="A4" s="3" t="s">
        <v>40</v>
      </c>
      <c r="B4" t="s">
        <v>77</v>
      </c>
      <c r="C4" t="s">
        <v>71</v>
      </c>
      <c r="E4" t="s">
        <v>89</v>
      </c>
      <c r="F4">
        <v>4.2</v>
      </c>
      <c r="G4">
        <v>3.6</v>
      </c>
      <c r="H4">
        <v>2.8</v>
      </c>
      <c r="I4">
        <v>3</v>
      </c>
      <c r="J4">
        <v>3.2</v>
      </c>
      <c r="K4">
        <v>2</v>
      </c>
      <c r="L4">
        <f t="shared" ref="L4:L31" si="0">AVERAGE(F4:J4)*5</f>
        <v>16.8</v>
      </c>
    </row>
    <row r="5" spans="1:12" x14ac:dyDescent="0.2">
      <c r="A5" s="3" t="s">
        <v>41</v>
      </c>
      <c r="B5" t="s">
        <v>77</v>
      </c>
      <c r="C5" t="s">
        <v>71</v>
      </c>
      <c r="E5" t="s">
        <v>89</v>
      </c>
    </row>
    <row r="6" spans="1:12" x14ac:dyDescent="0.2">
      <c r="A6" s="3" t="s">
        <v>42</v>
      </c>
      <c r="B6" t="s">
        <v>77</v>
      </c>
      <c r="C6" t="s">
        <v>71</v>
      </c>
      <c r="E6" t="s">
        <v>89</v>
      </c>
      <c r="F6">
        <v>2.4</v>
      </c>
      <c r="G6">
        <v>3.8</v>
      </c>
      <c r="H6">
        <v>2.8</v>
      </c>
      <c r="I6">
        <v>4.2</v>
      </c>
      <c r="J6">
        <v>5.2</v>
      </c>
      <c r="K6">
        <v>2</v>
      </c>
      <c r="L6">
        <f t="shared" si="0"/>
        <v>18.399999999999999</v>
      </c>
    </row>
    <row r="7" spans="1:12" x14ac:dyDescent="0.2">
      <c r="A7" s="3" t="s">
        <v>43</v>
      </c>
      <c r="B7" t="s">
        <v>77</v>
      </c>
      <c r="C7" t="s">
        <v>71</v>
      </c>
      <c r="E7" t="s">
        <v>89</v>
      </c>
    </row>
    <row r="8" spans="1:12" x14ac:dyDescent="0.2">
      <c r="A8" s="3" t="s">
        <v>44</v>
      </c>
      <c r="B8" t="s">
        <v>77</v>
      </c>
      <c r="C8" t="s">
        <v>71</v>
      </c>
      <c r="E8" t="s">
        <v>89</v>
      </c>
      <c r="F8">
        <v>4.2</v>
      </c>
      <c r="G8">
        <v>4.5999999999999996</v>
      </c>
      <c r="H8">
        <v>3.4</v>
      </c>
      <c r="I8">
        <v>3.6</v>
      </c>
      <c r="J8">
        <v>3.4</v>
      </c>
      <c r="K8">
        <v>2</v>
      </c>
      <c r="L8">
        <f t="shared" si="0"/>
        <v>19.2</v>
      </c>
    </row>
    <row r="9" spans="1:12" x14ac:dyDescent="0.2">
      <c r="A9" s="3" t="s">
        <v>45</v>
      </c>
      <c r="B9" t="s">
        <v>77</v>
      </c>
      <c r="C9" t="s">
        <v>71</v>
      </c>
      <c r="E9" t="s">
        <v>89</v>
      </c>
    </row>
    <row r="10" spans="1:12" x14ac:dyDescent="0.2">
      <c r="A10" s="3" t="s">
        <v>46</v>
      </c>
      <c r="B10" t="s">
        <v>77</v>
      </c>
      <c r="C10" t="s">
        <v>71</v>
      </c>
      <c r="E10" t="s">
        <v>89</v>
      </c>
      <c r="F10">
        <v>3.8</v>
      </c>
      <c r="G10">
        <v>3.4</v>
      </c>
      <c r="H10">
        <v>4.2</v>
      </c>
      <c r="I10">
        <v>4</v>
      </c>
      <c r="J10">
        <v>3.6</v>
      </c>
      <c r="K10">
        <v>2</v>
      </c>
      <c r="L10">
        <f t="shared" si="0"/>
        <v>19</v>
      </c>
    </row>
    <row r="11" spans="1:12" x14ac:dyDescent="0.2">
      <c r="A11" s="3" t="s">
        <v>47</v>
      </c>
      <c r="B11" t="s">
        <v>77</v>
      </c>
      <c r="C11" t="s">
        <v>71</v>
      </c>
      <c r="E11" t="s">
        <v>89</v>
      </c>
    </row>
    <row r="12" spans="1:12" x14ac:dyDescent="0.2">
      <c r="A12" s="3" t="s">
        <v>48</v>
      </c>
      <c r="B12" t="s">
        <v>77</v>
      </c>
      <c r="C12" t="s">
        <v>71</v>
      </c>
      <c r="E12" t="s">
        <v>89</v>
      </c>
      <c r="F12">
        <v>3.8</v>
      </c>
      <c r="G12">
        <v>2.6</v>
      </c>
      <c r="H12">
        <v>3.6</v>
      </c>
      <c r="I12">
        <v>3.8</v>
      </c>
      <c r="J12">
        <v>3</v>
      </c>
      <c r="K12">
        <v>2</v>
      </c>
      <c r="L12">
        <f t="shared" si="0"/>
        <v>16.8</v>
      </c>
    </row>
    <row r="13" spans="1:12" x14ac:dyDescent="0.2">
      <c r="A13" s="3" t="s">
        <v>49</v>
      </c>
      <c r="B13" t="s">
        <v>77</v>
      </c>
      <c r="C13" t="s">
        <v>71</v>
      </c>
      <c r="E13" t="s">
        <v>89</v>
      </c>
    </row>
    <row r="14" spans="1:12" x14ac:dyDescent="0.2">
      <c r="A14" s="3" t="s">
        <v>50</v>
      </c>
      <c r="B14" t="s">
        <v>77</v>
      </c>
      <c r="C14" t="s">
        <v>71</v>
      </c>
      <c r="E14" t="s">
        <v>89</v>
      </c>
      <c r="F14">
        <v>4</v>
      </c>
      <c r="G14">
        <v>3.2</v>
      </c>
      <c r="H14">
        <v>4</v>
      </c>
      <c r="I14">
        <v>4.9000000000000004</v>
      </c>
      <c r="J14">
        <v>3.6</v>
      </c>
      <c r="K14">
        <v>2</v>
      </c>
      <c r="L14">
        <f t="shared" si="0"/>
        <v>19.700000000000003</v>
      </c>
    </row>
    <row r="15" spans="1:12" x14ac:dyDescent="0.2">
      <c r="A15" s="3" t="s">
        <v>51</v>
      </c>
      <c r="B15" t="s">
        <v>77</v>
      </c>
      <c r="C15" t="s">
        <v>71</v>
      </c>
      <c r="E15" t="s">
        <v>89</v>
      </c>
    </row>
    <row r="16" spans="1:12" x14ac:dyDescent="0.2">
      <c r="A16" s="3" t="s">
        <v>52</v>
      </c>
      <c r="B16" t="s">
        <v>77</v>
      </c>
      <c r="C16" t="s">
        <v>71</v>
      </c>
      <c r="E16" t="s">
        <v>89</v>
      </c>
      <c r="F16">
        <v>4</v>
      </c>
      <c r="G16">
        <v>4.2</v>
      </c>
      <c r="H16">
        <v>4</v>
      </c>
      <c r="I16">
        <v>3.2</v>
      </c>
      <c r="J16">
        <v>3.4</v>
      </c>
      <c r="K16">
        <v>2</v>
      </c>
      <c r="L16">
        <f t="shared" si="0"/>
        <v>18.799999999999997</v>
      </c>
    </row>
    <row r="17" spans="1:12" x14ac:dyDescent="0.2">
      <c r="A17" s="3" t="s">
        <v>53</v>
      </c>
      <c r="B17" t="s">
        <v>77</v>
      </c>
      <c r="C17" t="s">
        <v>71</v>
      </c>
      <c r="E17" t="s">
        <v>89</v>
      </c>
    </row>
    <row r="18" spans="1:12" x14ac:dyDescent="0.2">
      <c r="A18" s="3" t="s">
        <v>54</v>
      </c>
      <c r="B18" t="s">
        <v>77</v>
      </c>
      <c r="C18" t="s">
        <v>71</v>
      </c>
      <c r="E18" t="s">
        <v>89</v>
      </c>
      <c r="F18">
        <v>4.2</v>
      </c>
      <c r="G18">
        <v>2.4</v>
      </c>
      <c r="H18">
        <v>3.2</v>
      </c>
      <c r="I18">
        <v>2.2000000000000002</v>
      </c>
      <c r="J18">
        <v>3.8</v>
      </c>
      <c r="K18">
        <v>2</v>
      </c>
      <c r="L18">
        <f t="shared" si="0"/>
        <v>15.8</v>
      </c>
    </row>
    <row r="19" spans="1:12" x14ac:dyDescent="0.2">
      <c r="A19" s="3" t="s">
        <v>55</v>
      </c>
      <c r="B19" t="s">
        <v>77</v>
      </c>
      <c r="C19" t="s">
        <v>71</v>
      </c>
      <c r="E19" t="s">
        <v>89</v>
      </c>
    </row>
    <row r="20" spans="1:12" x14ac:dyDescent="0.2">
      <c r="A20" s="3" t="s">
        <v>56</v>
      </c>
      <c r="B20" t="s">
        <v>77</v>
      </c>
      <c r="C20" t="s">
        <v>71</v>
      </c>
      <c r="E20" t="s">
        <v>89</v>
      </c>
      <c r="F20">
        <v>3</v>
      </c>
      <c r="G20">
        <v>2</v>
      </c>
      <c r="H20">
        <v>2.6</v>
      </c>
      <c r="I20">
        <v>3.6</v>
      </c>
      <c r="J20">
        <v>2</v>
      </c>
      <c r="K20">
        <v>2</v>
      </c>
      <c r="L20">
        <f t="shared" si="0"/>
        <v>13.2</v>
      </c>
    </row>
    <row r="21" spans="1:12" x14ac:dyDescent="0.2">
      <c r="A21" s="3" t="s">
        <v>57</v>
      </c>
      <c r="B21" t="s">
        <v>77</v>
      </c>
      <c r="C21" t="s">
        <v>71</v>
      </c>
      <c r="E21" t="s">
        <v>89</v>
      </c>
    </row>
    <row r="22" spans="1:12" x14ac:dyDescent="0.2">
      <c r="A22" s="1" t="s">
        <v>3</v>
      </c>
      <c r="B22" t="s">
        <v>76</v>
      </c>
      <c r="C22" t="s">
        <v>72</v>
      </c>
      <c r="D22">
        <v>-313</v>
      </c>
      <c r="E22" t="s">
        <v>89</v>
      </c>
      <c r="F22">
        <v>4.9000000000000004</v>
      </c>
      <c r="G22">
        <v>1.4</v>
      </c>
      <c r="H22">
        <v>3.4</v>
      </c>
      <c r="I22">
        <v>2.7</v>
      </c>
      <c r="J22">
        <v>2.7</v>
      </c>
      <c r="K22">
        <v>2</v>
      </c>
      <c r="L22">
        <f t="shared" si="0"/>
        <v>15.100000000000001</v>
      </c>
    </row>
    <row r="23" spans="1:12" x14ac:dyDescent="0.2">
      <c r="A23" s="1" t="s">
        <v>4</v>
      </c>
      <c r="B23" t="s">
        <v>76</v>
      </c>
      <c r="C23" t="s">
        <v>72</v>
      </c>
      <c r="D23">
        <v>-375.2</v>
      </c>
      <c r="E23" t="s">
        <v>89</v>
      </c>
      <c r="F23">
        <v>4.5999999999999996</v>
      </c>
      <c r="G23">
        <v>2.5</v>
      </c>
      <c r="H23">
        <v>4.0999999999999996</v>
      </c>
      <c r="I23">
        <v>3.7</v>
      </c>
      <c r="J23">
        <v>2.5</v>
      </c>
      <c r="K23">
        <v>2</v>
      </c>
      <c r="L23">
        <f t="shared" si="0"/>
        <v>17.399999999999999</v>
      </c>
    </row>
    <row r="24" spans="1:12" x14ac:dyDescent="0.2">
      <c r="A24" s="1" t="s">
        <v>5</v>
      </c>
      <c r="B24" t="s">
        <v>76</v>
      </c>
      <c r="C24" t="s">
        <v>71</v>
      </c>
      <c r="D24">
        <v>-376.9</v>
      </c>
      <c r="E24" t="s">
        <v>89</v>
      </c>
      <c r="F24">
        <v>3.7</v>
      </c>
      <c r="G24">
        <v>2.9</v>
      </c>
      <c r="H24">
        <v>3.5</v>
      </c>
      <c r="I24">
        <v>5.2</v>
      </c>
      <c r="J24">
        <v>6.8</v>
      </c>
      <c r="K24">
        <v>2</v>
      </c>
      <c r="L24">
        <f t="shared" si="0"/>
        <v>22.1</v>
      </c>
    </row>
    <row r="25" spans="1:12" x14ac:dyDescent="0.2">
      <c r="A25" s="1" t="s">
        <v>6</v>
      </c>
      <c r="B25" t="s">
        <v>76</v>
      </c>
      <c r="C25" t="s">
        <v>71</v>
      </c>
      <c r="D25">
        <v>-375.7</v>
      </c>
      <c r="E25" t="s">
        <v>89</v>
      </c>
      <c r="F25">
        <v>2.6</v>
      </c>
      <c r="G25">
        <v>2.8</v>
      </c>
      <c r="H25">
        <v>3.4</v>
      </c>
      <c r="I25">
        <v>4.0999999999999996</v>
      </c>
      <c r="J25">
        <v>2.2999999999999998</v>
      </c>
      <c r="K25">
        <v>2</v>
      </c>
      <c r="L25">
        <f t="shared" si="0"/>
        <v>15.2</v>
      </c>
    </row>
    <row r="26" spans="1:12" x14ac:dyDescent="0.2">
      <c r="A26" s="1" t="s">
        <v>7</v>
      </c>
      <c r="B26" t="s">
        <v>76</v>
      </c>
      <c r="C26" t="s">
        <v>71</v>
      </c>
      <c r="D26">
        <v>-365</v>
      </c>
      <c r="E26" t="s">
        <v>89</v>
      </c>
      <c r="F26">
        <v>3.3</v>
      </c>
      <c r="G26">
        <v>4.8</v>
      </c>
      <c r="H26">
        <v>2.9</v>
      </c>
      <c r="I26">
        <v>5</v>
      </c>
      <c r="J26">
        <v>3.3</v>
      </c>
      <c r="K26">
        <v>2</v>
      </c>
      <c r="L26">
        <f t="shared" si="0"/>
        <v>19.3</v>
      </c>
    </row>
    <row r="27" spans="1:12" x14ac:dyDescent="0.2">
      <c r="A27" s="1" t="s">
        <v>8</v>
      </c>
      <c r="B27" t="s">
        <v>76</v>
      </c>
      <c r="C27" t="s">
        <v>71</v>
      </c>
      <c r="D27">
        <v>-364.6</v>
      </c>
      <c r="E27" t="s">
        <v>89</v>
      </c>
      <c r="F27">
        <v>4.2</v>
      </c>
      <c r="G27">
        <v>4.3</v>
      </c>
      <c r="H27">
        <v>5.9</v>
      </c>
      <c r="I27">
        <v>3.6</v>
      </c>
      <c r="J27">
        <v>10.6</v>
      </c>
      <c r="K27">
        <v>2</v>
      </c>
      <c r="L27">
        <f t="shared" si="0"/>
        <v>28.6</v>
      </c>
    </row>
    <row r="28" spans="1:12" x14ac:dyDescent="0.2">
      <c r="A28" s="1" t="s">
        <v>9</v>
      </c>
      <c r="B28" t="s">
        <v>76</v>
      </c>
      <c r="C28" t="s">
        <v>71</v>
      </c>
      <c r="D28">
        <v>-384.5</v>
      </c>
      <c r="E28" t="s">
        <v>89</v>
      </c>
      <c r="F28">
        <v>3.1</v>
      </c>
      <c r="G28">
        <v>1.9</v>
      </c>
      <c r="H28">
        <v>3.5</v>
      </c>
      <c r="I28">
        <v>3.5</v>
      </c>
      <c r="J28">
        <v>4.8</v>
      </c>
      <c r="K28">
        <v>2</v>
      </c>
      <c r="L28">
        <f t="shared" si="0"/>
        <v>16.8</v>
      </c>
    </row>
    <row r="29" spans="1:12" x14ac:dyDescent="0.2">
      <c r="A29" s="1" t="s">
        <v>10</v>
      </c>
      <c r="B29" t="s">
        <v>76</v>
      </c>
      <c r="C29" t="s">
        <v>71</v>
      </c>
      <c r="D29">
        <v>-364.7</v>
      </c>
      <c r="E29" t="s">
        <v>89</v>
      </c>
      <c r="F29">
        <v>7.7</v>
      </c>
      <c r="G29">
        <v>7.1</v>
      </c>
      <c r="H29">
        <v>11</v>
      </c>
      <c r="I29">
        <v>10.1</v>
      </c>
      <c r="J29">
        <v>10.8</v>
      </c>
      <c r="K29">
        <v>2</v>
      </c>
      <c r="L29">
        <f t="shared" si="0"/>
        <v>46.7</v>
      </c>
    </row>
    <row r="30" spans="1:12" x14ac:dyDescent="0.2">
      <c r="A30" s="1" t="s">
        <v>11</v>
      </c>
      <c r="B30" t="s">
        <v>76</v>
      </c>
      <c r="C30" t="s">
        <v>71</v>
      </c>
      <c r="D30">
        <v>-369.2</v>
      </c>
      <c r="E30" t="s">
        <v>89</v>
      </c>
      <c r="F30">
        <v>10</v>
      </c>
      <c r="G30">
        <v>10.1</v>
      </c>
      <c r="H30">
        <v>12.1</v>
      </c>
      <c r="I30">
        <v>8.6</v>
      </c>
      <c r="J30">
        <v>9</v>
      </c>
      <c r="K30">
        <v>2</v>
      </c>
      <c r="L30">
        <f t="shared" si="0"/>
        <v>49.800000000000004</v>
      </c>
    </row>
    <row r="31" spans="1:12" x14ac:dyDescent="0.2">
      <c r="A31" s="1" t="s">
        <v>12</v>
      </c>
      <c r="B31" t="s">
        <v>76</v>
      </c>
      <c r="C31" t="s">
        <v>71</v>
      </c>
      <c r="D31">
        <v>-384.2</v>
      </c>
      <c r="E31" t="s">
        <v>89</v>
      </c>
      <c r="F31">
        <v>6</v>
      </c>
      <c r="G31">
        <v>5.8</v>
      </c>
      <c r="H31">
        <v>7.5</v>
      </c>
      <c r="I31">
        <v>6.2</v>
      </c>
      <c r="J31">
        <v>8.4</v>
      </c>
      <c r="K31">
        <v>2</v>
      </c>
      <c r="L31">
        <f t="shared" si="0"/>
        <v>33.9</v>
      </c>
    </row>
    <row r="32" spans="1:12" x14ac:dyDescent="0.2">
      <c r="A32" s="2" t="s">
        <v>18</v>
      </c>
      <c r="B32" t="s">
        <v>157</v>
      </c>
      <c r="C32" t="s">
        <v>71</v>
      </c>
      <c r="D32">
        <v>-292.2</v>
      </c>
      <c r="E32" t="s">
        <v>89</v>
      </c>
      <c r="F32">
        <v>4</v>
      </c>
      <c r="G32">
        <v>2.4</v>
      </c>
      <c r="H32">
        <v>1.8</v>
      </c>
      <c r="I32">
        <v>3.2</v>
      </c>
      <c r="J32">
        <v>2.2000000000000002</v>
      </c>
      <c r="K32">
        <v>5</v>
      </c>
      <c r="L32">
        <f>AVERAGE(F32:J32)*94</f>
        <v>255.68</v>
      </c>
    </row>
    <row r="33" spans="1:12" x14ac:dyDescent="0.2">
      <c r="A33" s="2" t="s">
        <v>19</v>
      </c>
      <c r="B33" t="s">
        <v>157</v>
      </c>
      <c r="C33" t="s">
        <v>71</v>
      </c>
      <c r="E33" t="s">
        <v>89</v>
      </c>
    </row>
    <row r="34" spans="1:12" x14ac:dyDescent="0.2">
      <c r="A34" s="2" t="s">
        <v>20</v>
      </c>
      <c r="B34" t="s">
        <v>157</v>
      </c>
      <c r="C34" t="s">
        <v>71</v>
      </c>
      <c r="D34">
        <v>-289.5</v>
      </c>
      <c r="E34" t="s">
        <v>89</v>
      </c>
      <c r="F34">
        <v>2.8</v>
      </c>
      <c r="G34">
        <v>5.8</v>
      </c>
      <c r="H34">
        <v>3</v>
      </c>
      <c r="I34">
        <v>2.6</v>
      </c>
      <c r="J34">
        <v>2.6</v>
      </c>
      <c r="K34">
        <v>5</v>
      </c>
      <c r="L34">
        <f>AVERAGE(F34:J34)*25</f>
        <v>84.000000000000014</v>
      </c>
    </row>
    <row r="35" spans="1:12" x14ac:dyDescent="0.2">
      <c r="A35" s="2" t="s">
        <v>21</v>
      </c>
      <c r="B35" t="s">
        <v>157</v>
      </c>
      <c r="C35" t="s">
        <v>71</v>
      </c>
      <c r="E35" t="s">
        <v>89</v>
      </c>
    </row>
    <row r="36" spans="1:12" x14ac:dyDescent="0.2">
      <c r="A36" s="2" t="s">
        <v>22</v>
      </c>
      <c r="B36" t="s">
        <v>157</v>
      </c>
      <c r="C36" t="s">
        <v>71</v>
      </c>
      <c r="D36">
        <v>-358.8</v>
      </c>
      <c r="E36" t="s">
        <v>89</v>
      </c>
      <c r="F36">
        <v>2.4</v>
      </c>
      <c r="G36">
        <v>3.2</v>
      </c>
      <c r="H36">
        <v>4</v>
      </c>
      <c r="I36">
        <v>2.8</v>
      </c>
      <c r="J36">
        <v>3.6</v>
      </c>
      <c r="K36">
        <v>5</v>
      </c>
      <c r="L36">
        <f t="shared" ref="L36:L50" si="1">AVERAGE(F36:J36)*25</f>
        <v>80</v>
      </c>
    </row>
    <row r="37" spans="1:12" x14ac:dyDescent="0.2">
      <c r="A37" s="2" t="s">
        <v>23</v>
      </c>
      <c r="B37" t="s">
        <v>157</v>
      </c>
      <c r="C37" t="s">
        <v>71</v>
      </c>
      <c r="E37" t="s">
        <v>89</v>
      </c>
    </row>
    <row r="38" spans="1:12" x14ac:dyDescent="0.2">
      <c r="A38" s="2" t="s">
        <v>24</v>
      </c>
      <c r="B38" t="s">
        <v>157</v>
      </c>
      <c r="C38" t="s">
        <v>71</v>
      </c>
      <c r="D38">
        <v>-264.10000000000002</v>
      </c>
      <c r="E38" t="s">
        <v>89</v>
      </c>
      <c r="F38">
        <v>4.4000000000000004</v>
      </c>
      <c r="G38">
        <v>3.4</v>
      </c>
      <c r="H38">
        <v>4.8</v>
      </c>
      <c r="I38">
        <v>4.8</v>
      </c>
      <c r="J38">
        <v>3.2</v>
      </c>
      <c r="K38">
        <v>5</v>
      </c>
      <c r="L38">
        <f t="shared" si="1"/>
        <v>103</v>
      </c>
    </row>
    <row r="39" spans="1:12" x14ac:dyDescent="0.2">
      <c r="A39" s="2" t="s">
        <v>25</v>
      </c>
      <c r="B39" t="s">
        <v>157</v>
      </c>
      <c r="C39" t="s">
        <v>71</v>
      </c>
      <c r="E39" t="s">
        <v>89</v>
      </c>
    </row>
    <row r="40" spans="1:12" x14ac:dyDescent="0.2">
      <c r="A40" s="2" t="s">
        <v>26</v>
      </c>
      <c r="B40" t="s">
        <v>157</v>
      </c>
      <c r="C40" t="s">
        <v>71</v>
      </c>
      <c r="D40">
        <v>-275.7</v>
      </c>
      <c r="E40" t="s">
        <v>89</v>
      </c>
      <c r="F40">
        <v>1.8</v>
      </c>
      <c r="G40">
        <v>3.8</v>
      </c>
      <c r="H40">
        <v>4</v>
      </c>
      <c r="I40">
        <v>2.8</v>
      </c>
      <c r="J40">
        <v>4.4000000000000004</v>
      </c>
      <c r="K40">
        <v>5</v>
      </c>
      <c r="L40">
        <f t="shared" si="1"/>
        <v>83.999999999999986</v>
      </c>
    </row>
    <row r="41" spans="1:12" x14ac:dyDescent="0.2">
      <c r="A41" s="2" t="s">
        <v>27</v>
      </c>
      <c r="B41" t="s">
        <v>157</v>
      </c>
      <c r="C41" t="s">
        <v>71</v>
      </c>
      <c r="E41" t="s">
        <v>89</v>
      </c>
    </row>
    <row r="42" spans="1:12" x14ac:dyDescent="0.2">
      <c r="A42" s="2" t="s">
        <v>28</v>
      </c>
      <c r="B42" t="s">
        <v>157</v>
      </c>
      <c r="C42" t="s">
        <v>71</v>
      </c>
      <c r="D42">
        <v>-322</v>
      </c>
      <c r="E42" t="s">
        <v>89</v>
      </c>
      <c r="F42">
        <v>4.8</v>
      </c>
      <c r="G42">
        <v>5.0999999999999996</v>
      </c>
      <c r="H42">
        <v>4</v>
      </c>
      <c r="I42">
        <v>4.8</v>
      </c>
      <c r="J42">
        <v>4.5</v>
      </c>
      <c r="K42">
        <v>5</v>
      </c>
      <c r="L42">
        <f t="shared" si="1"/>
        <v>115.99999999999999</v>
      </c>
    </row>
    <row r="43" spans="1:12" x14ac:dyDescent="0.2">
      <c r="A43" s="2" t="s">
        <v>29</v>
      </c>
      <c r="B43" t="s">
        <v>157</v>
      </c>
      <c r="C43" t="s">
        <v>71</v>
      </c>
      <c r="E43" t="s">
        <v>89</v>
      </c>
    </row>
    <row r="44" spans="1:12" x14ac:dyDescent="0.2">
      <c r="A44" s="2" t="s">
        <v>30</v>
      </c>
      <c r="B44" t="s">
        <v>157</v>
      </c>
      <c r="C44" t="s">
        <v>71</v>
      </c>
      <c r="D44">
        <v>-342.2</v>
      </c>
      <c r="E44" t="s">
        <v>89</v>
      </c>
      <c r="F44">
        <v>2.5</v>
      </c>
      <c r="G44">
        <v>5.4</v>
      </c>
      <c r="H44">
        <v>4.3</v>
      </c>
      <c r="I44">
        <v>5</v>
      </c>
      <c r="J44">
        <v>3.5</v>
      </c>
      <c r="K44">
        <v>5</v>
      </c>
      <c r="L44">
        <f t="shared" si="1"/>
        <v>103.49999999999999</v>
      </c>
    </row>
    <row r="45" spans="1:12" x14ac:dyDescent="0.2">
      <c r="A45" s="2" t="s">
        <v>31</v>
      </c>
      <c r="B45" t="s">
        <v>157</v>
      </c>
      <c r="C45" t="s">
        <v>71</v>
      </c>
      <c r="E45" t="s">
        <v>89</v>
      </c>
    </row>
    <row r="46" spans="1:12" x14ac:dyDescent="0.2">
      <c r="A46" s="2" t="s">
        <v>32</v>
      </c>
      <c r="B46" t="s">
        <v>157</v>
      </c>
      <c r="C46" t="s">
        <v>71</v>
      </c>
      <c r="D46">
        <v>-336.4</v>
      </c>
      <c r="E46" t="s">
        <v>89</v>
      </c>
      <c r="F46">
        <v>2.9</v>
      </c>
      <c r="G46">
        <v>4.7</v>
      </c>
      <c r="H46">
        <v>4.4000000000000004</v>
      </c>
      <c r="I46">
        <v>4.2</v>
      </c>
      <c r="J46">
        <v>4.5999999999999996</v>
      </c>
      <c r="K46">
        <v>5</v>
      </c>
      <c r="L46">
        <f t="shared" si="1"/>
        <v>103.99999999999999</v>
      </c>
    </row>
    <row r="47" spans="1:12" x14ac:dyDescent="0.2">
      <c r="A47" s="2" t="s">
        <v>33</v>
      </c>
      <c r="B47" t="s">
        <v>157</v>
      </c>
      <c r="C47" t="s">
        <v>71</v>
      </c>
      <c r="E47" t="s">
        <v>89</v>
      </c>
    </row>
    <row r="48" spans="1:12" x14ac:dyDescent="0.2">
      <c r="A48" s="2" t="s">
        <v>34</v>
      </c>
      <c r="B48" t="s">
        <v>157</v>
      </c>
      <c r="C48" t="s">
        <v>71</v>
      </c>
      <c r="D48">
        <v>-321.10000000000002</v>
      </c>
      <c r="E48" t="s">
        <v>89</v>
      </c>
      <c r="F48">
        <v>1</v>
      </c>
      <c r="G48">
        <v>1.4</v>
      </c>
      <c r="H48">
        <v>1</v>
      </c>
      <c r="I48">
        <v>2.2000000000000002</v>
      </c>
      <c r="J48">
        <v>3.2</v>
      </c>
      <c r="K48">
        <v>5</v>
      </c>
      <c r="L48">
        <f t="shared" si="1"/>
        <v>44.000000000000007</v>
      </c>
    </row>
    <row r="49" spans="1:12" x14ac:dyDescent="0.2">
      <c r="A49" s="2" t="s">
        <v>35</v>
      </c>
      <c r="B49" t="s">
        <v>157</v>
      </c>
      <c r="C49" t="s">
        <v>71</v>
      </c>
      <c r="E49" t="s">
        <v>89</v>
      </c>
    </row>
    <row r="50" spans="1:12" x14ac:dyDescent="0.2">
      <c r="A50" s="2" t="s">
        <v>36</v>
      </c>
      <c r="B50" t="s">
        <v>157</v>
      </c>
      <c r="C50" t="s">
        <v>71</v>
      </c>
      <c r="D50">
        <v>-341.5</v>
      </c>
      <c r="E50" t="s">
        <v>89</v>
      </c>
      <c r="F50">
        <v>3.2</v>
      </c>
      <c r="G50">
        <v>1.4</v>
      </c>
      <c r="H50">
        <v>3.2</v>
      </c>
      <c r="I50">
        <v>12.2</v>
      </c>
      <c r="J50">
        <v>4.2</v>
      </c>
      <c r="K50">
        <v>5</v>
      </c>
      <c r="L50">
        <f t="shared" si="1"/>
        <v>121</v>
      </c>
    </row>
    <row r="51" spans="1:12" x14ac:dyDescent="0.2">
      <c r="A51" s="2" t="s">
        <v>37</v>
      </c>
      <c r="B51" t="s">
        <v>157</v>
      </c>
      <c r="C51" t="s">
        <v>71</v>
      </c>
      <c r="E51" t="s">
        <v>89</v>
      </c>
    </row>
    <row r="52" spans="1:12" x14ac:dyDescent="0.2">
      <c r="A52" t="s">
        <v>14</v>
      </c>
      <c r="B52" t="s">
        <v>82</v>
      </c>
      <c r="C52" t="s">
        <v>71</v>
      </c>
      <c r="D52">
        <v>-339.7</v>
      </c>
      <c r="E52" t="s">
        <v>89</v>
      </c>
      <c r="F52">
        <v>5.5</v>
      </c>
      <c r="G52">
        <v>4.5999999999999996</v>
      </c>
      <c r="H52">
        <v>4.7</v>
      </c>
      <c r="I52">
        <v>3.7</v>
      </c>
      <c r="J52">
        <v>5.4</v>
      </c>
      <c r="K52">
        <v>2</v>
      </c>
      <c r="L52">
        <f>AVERAGE(F52:J52)*5</f>
        <v>23.9</v>
      </c>
    </row>
    <row r="53" spans="1:12" x14ac:dyDescent="0.2">
      <c r="A53" t="s">
        <v>15</v>
      </c>
      <c r="B53" t="s">
        <v>82</v>
      </c>
      <c r="C53" t="s">
        <v>71</v>
      </c>
      <c r="E53" t="s">
        <v>89</v>
      </c>
    </row>
    <row r="54" spans="1:12" x14ac:dyDescent="0.2">
      <c r="A54" t="s">
        <v>16</v>
      </c>
      <c r="B54" t="s">
        <v>82</v>
      </c>
      <c r="C54" t="s">
        <v>71</v>
      </c>
      <c r="D54">
        <v>-340.8</v>
      </c>
      <c r="E54" t="s">
        <v>89</v>
      </c>
      <c r="F54">
        <v>4.7</v>
      </c>
      <c r="G54">
        <v>8.3000000000000007</v>
      </c>
      <c r="H54">
        <v>2.9</v>
      </c>
      <c r="I54">
        <v>1.9</v>
      </c>
      <c r="J54">
        <v>2.6</v>
      </c>
      <c r="K54">
        <v>2</v>
      </c>
      <c r="L54">
        <f t="shared" ref="L54:L56" si="2">AVERAGE(F54:J54)*5</f>
        <v>20.399999999999999</v>
      </c>
    </row>
    <row r="55" spans="1:12" x14ac:dyDescent="0.2">
      <c r="A55" t="s">
        <v>17</v>
      </c>
      <c r="B55" t="s">
        <v>82</v>
      </c>
      <c r="C55" t="s">
        <v>71</v>
      </c>
      <c r="E55" t="s">
        <v>89</v>
      </c>
    </row>
    <row r="56" spans="1:12" x14ac:dyDescent="0.2">
      <c r="A56" t="s">
        <v>58</v>
      </c>
      <c r="B56" t="s">
        <v>82</v>
      </c>
      <c r="C56" t="s">
        <v>71</v>
      </c>
      <c r="D56">
        <v>-340.2</v>
      </c>
      <c r="E56" t="s">
        <v>89</v>
      </c>
      <c r="F56">
        <v>2.6</v>
      </c>
      <c r="G56">
        <v>3</v>
      </c>
      <c r="H56">
        <v>5.4</v>
      </c>
      <c r="I56">
        <v>4.8</v>
      </c>
      <c r="J56">
        <v>3.8</v>
      </c>
      <c r="K56">
        <v>2</v>
      </c>
      <c r="L56">
        <f t="shared" si="2"/>
        <v>19.600000000000001</v>
      </c>
    </row>
    <row r="57" spans="1:12" x14ac:dyDescent="0.2">
      <c r="A57" t="s">
        <v>59</v>
      </c>
      <c r="B57" t="s">
        <v>82</v>
      </c>
      <c r="C57" t="s">
        <v>71</v>
      </c>
      <c r="E57" t="s">
        <v>89</v>
      </c>
    </row>
    <row r="58" spans="1:12" x14ac:dyDescent="0.2">
      <c r="A58" s="3" t="s">
        <v>38</v>
      </c>
      <c r="B58" t="s">
        <v>77</v>
      </c>
      <c r="C58" t="s">
        <v>71</v>
      </c>
      <c r="E58" t="s">
        <v>92</v>
      </c>
      <c r="F58">
        <v>6.2</v>
      </c>
      <c r="G58">
        <v>6.2</v>
      </c>
      <c r="H58">
        <v>6</v>
      </c>
      <c r="I58">
        <v>6.6</v>
      </c>
      <c r="J58">
        <v>6.8</v>
      </c>
      <c r="K58">
        <v>2</v>
      </c>
      <c r="L58">
        <f>AVERAGE(F58:J58)*5</f>
        <v>31.8</v>
      </c>
    </row>
    <row r="59" spans="1:12" x14ac:dyDescent="0.2">
      <c r="A59" s="3" t="s">
        <v>39</v>
      </c>
      <c r="B59" t="s">
        <v>77</v>
      </c>
      <c r="C59" t="s">
        <v>71</v>
      </c>
      <c r="E59" t="s">
        <v>92</v>
      </c>
    </row>
    <row r="60" spans="1:12" x14ac:dyDescent="0.2">
      <c r="A60" s="3" t="s">
        <v>40</v>
      </c>
      <c r="B60" t="s">
        <v>77</v>
      </c>
      <c r="C60" t="s">
        <v>71</v>
      </c>
      <c r="E60" t="s">
        <v>91</v>
      </c>
      <c r="F60">
        <v>5</v>
      </c>
      <c r="G60">
        <v>4.8</v>
      </c>
      <c r="H60">
        <v>4</v>
      </c>
      <c r="I60">
        <v>6</v>
      </c>
      <c r="J60">
        <v>4.5999999999999996</v>
      </c>
      <c r="K60">
        <v>2</v>
      </c>
      <c r="L60">
        <f t="shared" ref="L60:L112" si="3">AVERAGE(F60:J60)*5</f>
        <v>24.4</v>
      </c>
    </row>
    <row r="61" spans="1:12" x14ac:dyDescent="0.2">
      <c r="A61" s="3" t="s">
        <v>41</v>
      </c>
      <c r="B61" t="s">
        <v>77</v>
      </c>
      <c r="C61" t="s">
        <v>71</v>
      </c>
      <c r="E61" t="s">
        <v>91</v>
      </c>
    </row>
    <row r="62" spans="1:12" x14ac:dyDescent="0.2">
      <c r="A62" s="3" t="s">
        <v>42</v>
      </c>
      <c r="B62" t="s">
        <v>77</v>
      </c>
      <c r="C62" t="s">
        <v>71</v>
      </c>
      <c r="E62" t="s">
        <v>91</v>
      </c>
      <c r="F62">
        <v>4.5999999999999996</v>
      </c>
      <c r="G62">
        <v>3.2</v>
      </c>
      <c r="H62">
        <v>4.2</v>
      </c>
      <c r="I62">
        <v>3.6</v>
      </c>
      <c r="J62">
        <v>3.2</v>
      </c>
      <c r="K62">
        <v>1</v>
      </c>
      <c r="L62">
        <f>AVERAGE(F62:J62)*0.625</f>
        <v>2.35</v>
      </c>
    </row>
    <row r="63" spans="1:12" x14ac:dyDescent="0.2">
      <c r="A63" s="3" t="s">
        <v>43</v>
      </c>
      <c r="B63" t="s">
        <v>77</v>
      </c>
      <c r="C63" t="s">
        <v>71</v>
      </c>
      <c r="E63" t="s">
        <v>91</v>
      </c>
    </row>
    <row r="64" spans="1:12" x14ac:dyDescent="0.2">
      <c r="A64" s="3" t="s">
        <v>44</v>
      </c>
      <c r="B64" t="s">
        <v>77</v>
      </c>
      <c r="C64" t="s">
        <v>71</v>
      </c>
      <c r="E64" t="s">
        <v>91</v>
      </c>
      <c r="F64">
        <v>5.4</v>
      </c>
      <c r="G64">
        <v>5.6</v>
      </c>
      <c r="H64">
        <v>4</v>
      </c>
      <c r="I64">
        <v>4.5999999999999996</v>
      </c>
      <c r="J64">
        <v>4.2</v>
      </c>
      <c r="K64">
        <v>2</v>
      </c>
      <c r="L64">
        <f t="shared" si="3"/>
        <v>23.799999999999997</v>
      </c>
    </row>
    <row r="65" spans="1:12" x14ac:dyDescent="0.2">
      <c r="A65" s="3" t="s">
        <v>45</v>
      </c>
      <c r="B65" t="s">
        <v>77</v>
      </c>
      <c r="C65" t="s">
        <v>71</v>
      </c>
      <c r="E65" t="s">
        <v>91</v>
      </c>
    </row>
    <row r="66" spans="1:12" x14ac:dyDescent="0.2">
      <c r="A66" s="3" t="s">
        <v>46</v>
      </c>
      <c r="B66" t="s">
        <v>77</v>
      </c>
      <c r="C66" t="s">
        <v>71</v>
      </c>
      <c r="E66" t="s">
        <v>91</v>
      </c>
      <c r="F66">
        <v>3.6</v>
      </c>
      <c r="G66">
        <v>4.4000000000000004</v>
      </c>
      <c r="H66">
        <v>5</v>
      </c>
      <c r="I66">
        <v>4</v>
      </c>
      <c r="J66">
        <v>4.8</v>
      </c>
      <c r="K66">
        <v>2</v>
      </c>
      <c r="L66">
        <f t="shared" si="3"/>
        <v>21.8</v>
      </c>
    </row>
    <row r="67" spans="1:12" x14ac:dyDescent="0.2">
      <c r="A67" s="3" t="s">
        <v>47</v>
      </c>
      <c r="B67" t="s">
        <v>77</v>
      </c>
      <c r="C67" t="s">
        <v>71</v>
      </c>
      <c r="E67" t="s">
        <v>91</v>
      </c>
    </row>
    <row r="68" spans="1:12" x14ac:dyDescent="0.2">
      <c r="A68" s="3" t="s">
        <v>48</v>
      </c>
      <c r="B68" t="s">
        <v>77</v>
      </c>
      <c r="C68" t="s">
        <v>71</v>
      </c>
      <c r="E68" t="s">
        <v>91</v>
      </c>
      <c r="F68">
        <v>7.4</v>
      </c>
      <c r="G68">
        <v>5</v>
      </c>
      <c r="H68">
        <v>4.4000000000000004</v>
      </c>
      <c r="I68">
        <v>4.5999999999999996</v>
      </c>
      <c r="J68">
        <v>4.4000000000000004</v>
      </c>
      <c r="K68">
        <v>2</v>
      </c>
      <c r="L68">
        <f t="shared" si="3"/>
        <v>25.799999999999997</v>
      </c>
    </row>
    <row r="69" spans="1:12" x14ac:dyDescent="0.2">
      <c r="A69" s="3" t="s">
        <v>49</v>
      </c>
      <c r="B69" t="s">
        <v>77</v>
      </c>
      <c r="C69" t="s">
        <v>71</v>
      </c>
      <c r="E69" t="s">
        <v>91</v>
      </c>
    </row>
    <row r="70" spans="1:12" x14ac:dyDescent="0.2">
      <c r="A70" s="3" t="s">
        <v>50</v>
      </c>
      <c r="B70" t="s">
        <v>77</v>
      </c>
      <c r="C70" t="s">
        <v>71</v>
      </c>
      <c r="E70" t="s">
        <v>91</v>
      </c>
      <c r="F70">
        <v>5.4</v>
      </c>
      <c r="G70">
        <v>6</v>
      </c>
      <c r="H70">
        <v>5.6</v>
      </c>
      <c r="I70">
        <v>7.4</v>
      </c>
      <c r="J70">
        <v>7.2</v>
      </c>
      <c r="K70">
        <v>2</v>
      </c>
      <c r="L70">
        <f t="shared" si="3"/>
        <v>31.599999999999998</v>
      </c>
    </row>
    <row r="71" spans="1:12" x14ac:dyDescent="0.2">
      <c r="A71" s="3" t="s">
        <v>51</v>
      </c>
      <c r="B71" t="s">
        <v>77</v>
      </c>
      <c r="C71" t="s">
        <v>71</v>
      </c>
      <c r="E71" t="s">
        <v>91</v>
      </c>
    </row>
    <row r="72" spans="1:12" x14ac:dyDescent="0.2">
      <c r="A72" s="3" t="s">
        <v>52</v>
      </c>
      <c r="B72" t="s">
        <v>77</v>
      </c>
      <c r="C72" t="s">
        <v>71</v>
      </c>
      <c r="E72" t="s">
        <v>91</v>
      </c>
      <c r="F72">
        <v>4.5999999999999996</v>
      </c>
      <c r="G72">
        <v>5</v>
      </c>
      <c r="H72">
        <v>5.4</v>
      </c>
      <c r="I72">
        <v>5</v>
      </c>
      <c r="J72">
        <v>6.2</v>
      </c>
      <c r="K72">
        <v>2</v>
      </c>
      <c r="L72">
        <f t="shared" si="3"/>
        <v>26.200000000000003</v>
      </c>
    </row>
    <row r="73" spans="1:12" x14ac:dyDescent="0.2">
      <c r="A73" s="3" t="s">
        <v>53</v>
      </c>
      <c r="B73" t="s">
        <v>77</v>
      </c>
      <c r="C73" t="s">
        <v>71</v>
      </c>
      <c r="E73" t="s">
        <v>91</v>
      </c>
    </row>
    <row r="74" spans="1:12" x14ac:dyDescent="0.2">
      <c r="A74" s="3" t="s">
        <v>54</v>
      </c>
      <c r="B74" t="s">
        <v>77</v>
      </c>
      <c r="C74" t="s">
        <v>71</v>
      </c>
      <c r="E74" t="s">
        <v>91</v>
      </c>
      <c r="F74">
        <v>8.8000000000000007</v>
      </c>
      <c r="G74">
        <v>5.8</v>
      </c>
      <c r="H74">
        <v>4.5999999999999996</v>
      </c>
      <c r="I74">
        <v>1.2</v>
      </c>
      <c r="J74">
        <v>0.8</v>
      </c>
      <c r="K74">
        <v>2</v>
      </c>
      <c r="L74">
        <f t="shared" si="3"/>
        <v>21.200000000000003</v>
      </c>
    </row>
    <row r="75" spans="1:12" x14ac:dyDescent="0.2">
      <c r="A75" s="3" t="s">
        <v>55</v>
      </c>
      <c r="B75" t="s">
        <v>77</v>
      </c>
      <c r="C75" t="s">
        <v>71</v>
      </c>
      <c r="E75" t="s">
        <v>91</v>
      </c>
    </row>
    <row r="76" spans="1:12" x14ac:dyDescent="0.2">
      <c r="A76" s="3" t="s">
        <v>56</v>
      </c>
      <c r="B76" t="s">
        <v>77</v>
      </c>
      <c r="C76" t="s">
        <v>71</v>
      </c>
      <c r="E76" t="s">
        <v>91</v>
      </c>
      <c r="F76">
        <v>6</v>
      </c>
      <c r="G76">
        <v>5.2</v>
      </c>
      <c r="H76">
        <v>3.6</v>
      </c>
      <c r="I76">
        <v>6.8</v>
      </c>
      <c r="J76">
        <v>4.4000000000000004</v>
      </c>
      <c r="K76">
        <v>2</v>
      </c>
      <c r="L76">
        <f t="shared" si="3"/>
        <v>26</v>
      </c>
    </row>
    <row r="77" spans="1:12" x14ac:dyDescent="0.2">
      <c r="A77" s="3" t="s">
        <v>57</v>
      </c>
      <c r="B77" t="s">
        <v>77</v>
      </c>
      <c r="C77" t="s">
        <v>71</v>
      </c>
      <c r="E77" t="s">
        <v>91</v>
      </c>
    </row>
    <row r="78" spans="1:12" x14ac:dyDescent="0.2">
      <c r="A78" s="1" t="s">
        <v>3</v>
      </c>
      <c r="B78" t="s">
        <v>76</v>
      </c>
      <c r="C78" t="s">
        <v>72</v>
      </c>
      <c r="E78" t="s">
        <v>91</v>
      </c>
      <c r="F78">
        <v>4.8</v>
      </c>
      <c r="G78">
        <v>4.8</v>
      </c>
      <c r="H78">
        <v>4.5999999999999996</v>
      </c>
      <c r="I78">
        <v>8.6999999999999993</v>
      </c>
      <c r="J78">
        <v>2.8</v>
      </c>
      <c r="K78">
        <v>2</v>
      </c>
      <c r="L78">
        <f t="shared" si="3"/>
        <v>25.7</v>
      </c>
    </row>
    <row r="79" spans="1:12" x14ac:dyDescent="0.2">
      <c r="A79" s="1" t="s">
        <v>4</v>
      </c>
      <c r="B79" t="s">
        <v>76</v>
      </c>
      <c r="C79" t="s">
        <v>72</v>
      </c>
      <c r="E79" t="s">
        <v>91</v>
      </c>
      <c r="F79">
        <v>1.5</v>
      </c>
      <c r="G79">
        <v>0.7</v>
      </c>
      <c r="H79">
        <v>1</v>
      </c>
      <c r="I79">
        <v>3.8</v>
      </c>
      <c r="J79">
        <v>1.1000000000000001</v>
      </c>
      <c r="K79">
        <v>2</v>
      </c>
      <c r="L79">
        <f t="shared" si="3"/>
        <v>8.1</v>
      </c>
    </row>
    <row r="80" spans="1:12" x14ac:dyDescent="0.2">
      <c r="A80" s="1" t="s">
        <v>5</v>
      </c>
      <c r="B80" t="s">
        <v>76</v>
      </c>
      <c r="C80" t="s">
        <v>71</v>
      </c>
      <c r="E80" t="s">
        <v>91</v>
      </c>
      <c r="F80">
        <v>4.8</v>
      </c>
      <c r="G80">
        <v>5.7</v>
      </c>
      <c r="H80">
        <v>5.4</v>
      </c>
      <c r="I80">
        <v>7.5</v>
      </c>
      <c r="J80">
        <v>7.8</v>
      </c>
      <c r="K80">
        <v>2</v>
      </c>
      <c r="L80">
        <f t="shared" si="3"/>
        <v>31.200000000000003</v>
      </c>
    </row>
    <row r="81" spans="1:12" x14ac:dyDescent="0.2">
      <c r="A81" s="1" t="s">
        <v>6</v>
      </c>
      <c r="B81" t="s">
        <v>76</v>
      </c>
      <c r="C81" t="s">
        <v>71</v>
      </c>
      <c r="E81" t="s">
        <v>91</v>
      </c>
      <c r="F81">
        <v>1.7</v>
      </c>
      <c r="G81">
        <v>3.4</v>
      </c>
      <c r="H81">
        <v>10.7</v>
      </c>
      <c r="I81">
        <v>3.9</v>
      </c>
      <c r="J81">
        <v>5.0999999999999996</v>
      </c>
      <c r="K81">
        <v>2</v>
      </c>
      <c r="L81">
        <f t="shared" si="3"/>
        <v>24.799999999999997</v>
      </c>
    </row>
    <row r="82" spans="1:12" x14ac:dyDescent="0.2">
      <c r="A82" s="1" t="s">
        <v>7</v>
      </c>
      <c r="B82" t="s">
        <v>76</v>
      </c>
      <c r="C82" t="s">
        <v>71</v>
      </c>
      <c r="E82" t="s">
        <v>91</v>
      </c>
      <c r="F82">
        <v>2.4</v>
      </c>
      <c r="G82">
        <v>5.8</v>
      </c>
      <c r="H82">
        <v>3.4</v>
      </c>
      <c r="I82">
        <v>4.4000000000000004</v>
      </c>
      <c r="J82">
        <v>0.6</v>
      </c>
      <c r="K82">
        <v>2</v>
      </c>
      <c r="L82">
        <f t="shared" si="3"/>
        <v>16.600000000000001</v>
      </c>
    </row>
    <row r="83" spans="1:12" x14ac:dyDescent="0.2">
      <c r="A83" s="1" t="s">
        <v>8</v>
      </c>
      <c r="B83" t="s">
        <v>76</v>
      </c>
      <c r="C83" t="s">
        <v>71</v>
      </c>
      <c r="E83" t="s">
        <v>91</v>
      </c>
      <c r="F83">
        <v>4.5</v>
      </c>
      <c r="G83">
        <v>4.8</v>
      </c>
      <c r="H83">
        <v>2.1</v>
      </c>
      <c r="I83">
        <v>2</v>
      </c>
      <c r="J83">
        <v>1.3</v>
      </c>
      <c r="K83">
        <v>2</v>
      </c>
      <c r="L83">
        <f t="shared" si="3"/>
        <v>14.700000000000003</v>
      </c>
    </row>
    <row r="84" spans="1:12" x14ac:dyDescent="0.2">
      <c r="A84" s="1" t="s">
        <v>9</v>
      </c>
      <c r="B84" t="s">
        <v>76</v>
      </c>
      <c r="C84" t="s">
        <v>71</v>
      </c>
      <c r="E84" t="s">
        <v>91</v>
      </c>
      <c r="F84">
        <v>1.9</v>
      </c>
      <c r="G84">
        <v>3.6</v>
      </c>
      <c r="H84">
        <v>2</v>
      </c>
      <c r="I84">
        <v>3.1</v>
      </c>
      <c r="J84">
        <v>2.2000000000000002</v>
      </c>
      <c r="K84">
        <v>2</v>
      </c>
      <c r="L84">
        <f t="shared" si="3"/>
        <v>12.8</v>
      </c>
    </row>
    <row r="85" spans="1:12" x14ac:dyDescent="0.2">
      <c r="A85" s="1" t="s">
        <v>10</v>
      </c>
      <c r="B85" t="s">
        <v>76</v>
      </c>
      <c r="C85" t="s">
        <v>71</v>
      </c>
      <c r="E85" t="s">
        <v>91</v>
      </c>
      <c r="F85">
        <v>1.7</v>
      </c>
      <c r="G85">
        <v>0.2</v>
      </c>
      <c r="H85">
        <v>0.7</v>
      </c>
      <c r="I85">
        <v>0.7</v>
      </c>
      <c r="J85">
        <v>0.3</v>
      </c>
      <c r="K85">
        <v>2</v>
      </c>
      <c r="L85">
        <f t="shared" si="3"/>
        <v>3.5999999999999996</v>
      </c>
    </row>
    <row r="86" spans="1:12" x14ac:dyDescent="0.2">
      <c r="A86" s="1" t="s">
        <v>11</v>
      </c>
      <c r="B86" t="s">
        <v>76</v>
      </c>
      <c r="C86" t="s">
        <v>71</v>
      </c>
      <c r="E86" t="s">
        <v>91</v>
      </c>
      <c r="F86">
        <v>1.1000000000000001</v>
      </c>
      <c r="G86">
        <v>0.7</v>
      </c>
      <c r="H86">
        <v>2.8</v>
      </c>
      <c r="I86">
        <v>0</v>
      </c>
      <c r="J86">
        <v>0</v>
      </c>
      <c r="K86">
        <v>2</v>
      </c>
      <c r="L86">
        <f t="shared" si="3"/>
        <v>4.5999999999999996</v>
      </c>
    </row>
    <row r="87" spans="1:12" x14ac:dyDescent="0.2">
      <c r="A87" s="1" t="s">
        <v>12</v>
      </c>
      <c r="B87" t="s">
        <v>76</v>
      </c>
      <c r="C87" t="s">
        <v>71</v>
      </c>
      <c r="E87" t="s">
        <v>91</v>
      </c>
      <c r="F87">
        <v>1.2</v>
      </c>
      <c r="G87">
        <v>0.6</v>
      </c>
      <c r="H87">
        <v>0.8</v>
      </c>
      <c r="I87">
        <v>0.5</v>
      </c>
      <c r="J87">
        <v>1.5</v>
      </c>
      <c r="K87">
        <v>2</v>
      </c>
      <c r="L87">
        <f t="shared" si="3"/>
        <v>4.5999999999999996</v>
      </c>
    </row>
    <row r="88" spans="1:12" x14ac:dyDescent="0.2">
      <c r="A88" s="2" t="s">
        <v>18</v>
      </c>
      <c r="B88" t="s">
        <v>157</v>
      </c>
      <c r="C88" t="s">
        <v>71</v>
      </c>
      <c r="E88" t="s">
        <v>91</v>
      </c>
      <c r="F88">
        <v>1.8</v>
      </c>
      <c r="G88">
        <v>0.8</v>
      </c>
      <c r="H88">
        <v>1.4</v>
      </c>
      <c r="I88">
        <v>1.6</v>
      </c>
      <c r="J88">
        <v>0.4</v>
      </c>
      <c r="K88">
        <v>5</v>
      </c>
      <c r="L88">
        <f>AVERAGE(F88:J88)*25</f>
        <v>30</v>
      </c>
    </row>
    <row r="89" spans="1:12" x14ac:dyDescent="0.2">
      <c r="A89" s="2" t="s">
        <v>19</v>
      </c>
      <c r="B89" t="s">
        <v>157</v>
      </c>
      <c r="C89" t="s">
        <v>71</v>
      </c>
      <c r="E89" t="s">
        <v>91</v>
      </c>
    </row>
    <row r="90" spans="1:12" x14ac:dyDescent="0.2">
      <c r="A90" s="2" t="s">
        <v>20</v>
      </c>
      <c r="B90" t="s">
        <v>157</v>
      </c>
      <c r="C90" t="s">
        <v>71</v>
      </c>
      <c r="E90" t="s">
        <v>91</v>
      </c>
      <c r="F90">
        <v>0.6</v>
      </c>
      <c r="G90">
        <v>1.4</v>
      </c>
      <c r="H90">
        <v>0.6</v>
      </c>
      <c r="I90">
        <v>1.2</v>
      </c>
      <c r="J90">
        <v>1.6</v>
      </c>
      <c r="K90">
        <v>5</v>
      </c>
      <c r="L90">
        <f>AVERAGE(F90:J90)*25</f>
        <v>27</v>
      </c>
    </row>
    <row r="91" spans="1:12" x14ac:dyDescent="0.2">
      <c r="A91" s="2" t="s">
        <v>21</v>
      </c>
      <c r="B91" t="s">
        <v>157</v>
      </c>
      <c r="C91" t="s">
        <v>71</v>
      </c>
      <c r="E91" t="s">
        <v>91</v>
      </c>
    </row>
    <row r="92" spans="1:12" x14ac:dyDescent="0.2">
      <c r="A92" s="2" t="s">
        <v>22</v>
      </c>
      <c r="B92" t="s">
        <v>157</v>
      </c>
      <c r="C92" t="s">
        <v>71</v>
      </c>
      <c r="E92" t="s">
        <v>91</v>
      </c>
      <c r="F92">
        <v>0.8</v>
      </c>
      <c r="G92">
        <v>0.6</v>
      </c>
      <c r="H92">
        <v>0.8</v>
      </c>
      <c r="I92">
        <v>0.6</v>
      </c>
      <c r="J92">
        <v>1</v>
      </c>
      <c r="K92">
        <v>5</v>
      </c>
      <c r="L92">
        <f t="shared" ref="L92:L96" si="4">AVERAGE(F92:J92)*25</f>
        <v>19</v>
      </c>
    </row>
    <row r="93" spans="1:12" x14ac:dyDescent="0.2">
      <c r="A93" s="2" t="s">
        <v>23</v>
      </c>
      <c r="B93" t="s">
        <v>157</v>
      </c>
      <c r="C93" t="s">
        <v>71</v>
      </c>
      <c r="E93" t="s">
        <v>91</v>
      </c>
    </row>
    <row r="94" spans="1:12" x14ac:dyDescent="0.2">
      <c r="A94" s="2" t="s">
        <v>24</v>
      </c>
      <c r="B94" t="s">
        <v>157</v>
      </c>
      <c r="C94" t="s">
        <v>71</v>
      </c>
      <c r="E94" t="s">
        <v>91</v>
      </c>
      <c r="F94">
        <v>1</v>
      </c>
      <c r="G94">
        <v>0.4</v>
      </c>
      <c r="H94">
        <v>1.4</v>
      </c>
      <c r="I94">
        <v>2.6</v>
      </c>
      <c r="J94">
        <v>0.8</v>
      </c>
      <c r="K94">
        <v>5</v>
      </c>
      <c r="L94">
        <f t="shared" si="4"/>
        <v>31</v>
      </c>
    </row>
    <row r="95" spans="1:12" x14ac:dyDescent="0.2">
      <c r="A95" s="2" t="s">
        <v>25</v>
      </c>
      <c r="B95" t="s">
        <v>157</v>
      </c>
      <c r="C95" t="s">
        <v>71</v>
      </c>
      <c r="E95" t="s">
        <v>91</v>
      </c>
    </row>
    <row r="96" spans="1:12" x14ac:dyDescent="0.2">
      <c r="A96" s="2" t="s">
        <v>26</v>
      </c>
      <c r="B96" t="s">
        <v>157</v>
      </c>
      <c r="C96" t="s">
        <v>71</v>
      </c>
      <c r="E96" t="s">
        <v>91</v>
      </c>
      <c r="F96">
        <v>2</v>
      </c>
      <c r="G96">
        <v>2.8</v>
      </c>
      <c r="H96">
        <v>1.8</v>
      </c>
      <c r="I96">
        <v>1.2</v>
      </c>
      <c r="J96">
        <v>0.4</v>
      </c>
      <c r="K96">
        <v>5</v>
      </c>
      <c r="L96">
        <f t="shared" si="4"/>
        <v>41</v>
      </c>
    </row>
    <row r="97" spans="1:12" x14ac:dyDescent="0.2">
      <c r="A97" s="2" t="s">
        <v>27</v>
      </c>
      <c r="B97" t="s">
        <v>157</v>
      </c>
      <c r="C97" t="s">
        <v>71</v>
      </c>
      <c r="E97" t="s">
        <v>91</v>
      </c>
    </row>
    <row r="98" spans="1:12" x14ac:dyDescent="0.2">
      <c r="A98" s="2" t="s">
        <v>28</v>
      </c>
      <c r="B98" t="s">
        <v>157</v>
      </c>
      <c r="C98" t="s">
        <v>71</v>
      </c>
      <c r="E98" t="s">
        <v>91</v>
      </c>
      <c r="F98">
        <v>0.8</v>
      </c>
      <c r="G98">
        <v>1.2</v>
      </c>
      <c r="H98">
        <v>2.2000000000000002</v>
      </c>
      <c r="I98">
        <v>2.2000000000000002</v>
      </c>
      <c r="J98">
        <v>1.2</v>
      </c>
      <c r="K98">
        <v>4</v>
      </c>
      <c r="L98">
        <f>AVERAGE(F98:J98)*20</f>
        <v>30.4</v>
      </c>
    </row>
    <row r="99" spans="1:12" x14ac:dyDescent="0.2">
      <c r="A99" s="2" t="s">
        <v>29</v>
      </c>
      <c r="B99" t="s">
        <v>157</v>
      </c>
      <c r="C99" t="s">
        <v>71</v>
      </c>
      <c r="E99" t="s">
        <v>91</v>
      </c>
    </row>
    <row r="100" spans="1:12" x14ac:dyDescent="0.2">
      <c r="A100" s="2" t="s">
        <v>30</v>
      </c>
      <c r="B100" t="s">
        <v>157</v>
      </c>
      <c r="C100" t="s">
        <v>71</v>
      </c>
      <c r="E100" t="s">
        <v>91</v>
      </c>
      <c r="F100">
        <v>1</v>
      </c>
      <c r="G100">
        <v>1.4</v>
      </c>
      <c r="H100">
        <v>7</v>
      </c>
      <c r="I100">
        <v>0.7</v>
      </c>
      <c r="J100">
        <v>0.2</v>
      </c>
      <c r="K100">
        <v>5</v>
      </c>
      <c r="L100">
        <f>AVERAGE(F100:J100)*25</f>
        <v>51.499999999999993</v>
      </c>
    </row>
    <row r="101" spans="1:12" x14ac:dyDescent="0.2">
      <c r="A101" s="2" t="s">
        <v>31</v>
      </c>
      <c r="B101" t="s">
        <v>157</v>
      </c>
      <c r="C101" t="s">
        <v>71</v>
      </c>
      <c r="E101" t="s">
        <v>91</v>
      </c>
    </row>
    <row r="102" spans="1:12" x14ac:dyDescent="0.2">
      <c r="A102" s="2" t="s">
        <v>32</v>
      </c>
      <c r="B102" t="s">
        <v>157</v>
      </c>
      <c r="C102" t="s">
        <v>71</v>
      </c>
      <c r="E102" t="s">
        <v>91</v>
      </c>
      <c r="F102">
        <v>0.6</v>
      </c>
      <c r="G102">
        <v>0.8</v>
      </c>
      <c r="H102">
        <v>1.9</v>
      </c>
      <c r="I102">
        <v>1</v>
      </c>
      <c r="J102">
        <v>0.9</v>
      </c>
      <c r="K102">
        <v>5</v>
      </c>
      <c r="L102">
        <f t="shared" ref="L102:L106" si="5">AVERAGE(F102:J102)*25</f>
        <v>26</v>
      </c>
    </row>
    <row r="103" spans="1:12" x14ac:dyDescent="0.2">
      <c r="A103" s="2" t="s">
        <v>33</v>
      </c>
      <c r="B103" t="s">
        <v>157</v>
      </c>
      <c r="C103" t="s">
        <v>71</v>
      </c>
      <c r="E103" t="s">
        <v>91</v>
      </c>
    </row>
    <row r="104" spans="1:12" x14ac:dyDescent="0.2">
      <c r="A104" s="2" t="s">
        <v>34</v>
      </c>
      <c r="B104" t="s">
        <v>157</v>
      </c>
      <c r="C104" t="s">
        <v>71</v>
      </c>
      <c r="E104" t="s">
        <v>91</v>
      </c>
      <c r="F104">
        <v>1</v>
      </c>
      <c r="G104">
        <v>0.8</v>
      </c>
      <c r="H104">
        <v>0.2</v>
      </c>
      <c r="I104">
        <v>0.6</v>
      </c>
      <c r="J104">
        <v>2.4</v>
      </c>
      <c r="K104">
        <v>5</v>
      </c>
      <c r="L104">
        <f t="shared" si="5"/>
        <v>25</v>
      </c>
    </row>
    <row r="105" spans="1:12" x14ac:dyDescent="0.2">
      <c r="A105" s="2" t="s">
        <v>35</v>
      </c>
      <c r="B105" t="s">
        <v>157</v>
      </c>
      <c r="C105" t="s">
        <v>71</v>
      </c>
      <c r="E105" t="s">
        <v>91</v>
      </c>
    </row>
    <row r="106" spans="1:12" x14ac:dyDescent="0.2">
      <c r="A106" s="2" t="s">
        <v>36</v>
      </c>
      <c r="B106" t="s">
        <v>157</v>
      </c>
      <c r="C106" t="s">
        <v>71</v>
      </c>
      <c r="E106" t="s">
        <v>91</v>
      </c>
      <c r="F106">
        <v>1.6</v>
      </c>
      <c r="G106">
        <v>1.2</v>
      </c>
      <c r="H106">
        <v>1</v>
      </c>
      <c r="I106">
        <v>0.6</v>
      </c>
      <c r="J106">
        <v>1.8</v>
      </c>
      <c r="K106">
        <v>5</v>
      </c>
      <c r="L106">
        <f t="shared" si="5"/>
        <v>30.999999999999993</v>
      </c>
    </row>
    <row r="107" spans="1:12" x14ac:dyDescent="0.2">
      <c r="A107" s="2" t="s">
        <v>37</v>
      </c>
      <c r="B107" t="s">
        <v>157</v>
      </c>
      <c r="C107" t="s">
        <v>71</v>
      </c>
      <c r="E107" t="s">
        <v>91</v>
      </c>
    </row>
    <row r="108" spans="1:12" x14ac:dyDescent="0.2">
      <c r="A108" t="s">
        <v>14</v>
      </c>
      <c r="B108" t="s">
        <v>82</v>
      </c>
      <c r="C108" t="s">
        <v>71</v>
      </c>
      <c r="E108" t="s">
        <v>91</v>
      </c>
      <c r="F108">
        <v>2.7</v>
      </c>
      <c r="G108">
        <v>0.8</v>
      </c>
      <c r="H108">
        <v>1.7</v>
      </c>
      <c r="I108">
        <v>0.3</v>
      </c>
      <c r="J108">
        <v>0.6</v>
      </c>
      <c r="K108">
        <v>2</v>
      </c>
      <c r="L108">
        <f t="shared" si="3"/>
        <v>6.1</v>
      </c>
    </row>
    <row r="109" spans="1:12" x14ac:dyDescent="0.2">
      <c r="A109" t="s">
        <v>15</v>
      </c>
      <c r="B109" t="s">
        <v>82</v>
      </c>
      <c r="C109" t="s">
        <v>71</v>
      </c>
      <c r="E109" t="s">
        <v>91</v>
      </c>
    </row>
    <row r="110" spans="1:12" x14ac:dyDescent="0.2">
      <c r="A110" t="s">
        <v>16</v>
      </c>
      <c r="B110" t="s">
        <v>82</v>
      </c>
      <c r="C110" t="s">
        <v>71</v>
      </c>
      <c r="E110" t="s">
        <v>91</v>
      </c>
      <c r="F110">
        <v>3.8</v>
      </c>
      <c r="G110">
        <v>0</v>
      </c>
      <c r="H110">
        <v>4.4000000000000004</v>
      </c>
      <c r="I110">
        <v>5.5</v>
      </c>
      <c r="J110">
        <v>2.2999999999999998</v>
      </c>
      <c r="K110">
        <v>2</v>
      </c>
      <c r="L110">
        <f t="shared" si="3"/>
        <v>16</v>
      </c>
    </row>
    <row r="111" spans="1:12" x14ac:dyDescent="0.2">
      <c r="A111" t="s">
        <v>17</v>
      </c>
      <c r="B111" t="s">
        <v>82</v>
      </c>
      <c r="C111" t="s">
        <v>71</v>
      </c>
      <c r="E111" t="s">
        <v>91</v>
      </c>
    </row>
    <row r="112" spans="1:12" x14ac:dyDescent="0.2">
      <c r="A112" t="s">
        <v>58</v>
      </c>
      <c r="B112" t="s">
        <v>82</v>
      </c>
      <c r="C112" t="s">
        <v>71</v>
      </c>
      <c r="E112" t="s">
        <v>91</v>
      </c>
      <c r="F112">
        <v>3.2</v>
      </c>
      <c r="G112">
        <v>4.2</v>
      </c>
      <c r="H112">
        <v>1.6</v>
      </c>
      <c r="I112">
        <v>4.5999999999999996</v>
      </c>
      <c r="J112">
        <v>2.6</v>
      </c>
      <c r="K112">
        <v>2</v>
      </c>
      <c r="L112">
        <f t="shared" si="3"/>
        <v>16.2</v>
      </c>
    </row>
    <row r="113" spans="1:5" x14ac:dyDescent="0.2">
      <c r="A113" t="s">
        <v>59</v>
      </c>
      <c r="B113" t="s">
        <v>82</v>
      </c>
      <c r="C113" t="s">
        <v>71</v>
      </c>
      <c r="E113" t="s">
        <v>91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3"/>
  <sheetViews>
    <sheetView topLeftCell="A29" workbookViewId="0">
      <selection activeCell="B32" sqref="B32"/>
    </sheetView>
  </sheetViews>
  <sheetFormatPr baseColWidth="10" defaultColWidth="8.83203125" defaultRowHeight="15" x14ac:dyDescent="0.2"/>
  <cols>
    <col min="2" max="2" width="19.5" customWidth="1"/>
    <col min="4" max="4" width="12.5" customWidth="1"/>
    <col min="5" max="5" width="21.83203125" customWidth="1"/>
  </cols>
  <sheetData>
    <row r="1" spans="1:5" x14ac:dyDescent="0.2">
      <c r="A1" s="6" t="s">
        <v>0</v>
      </c>
      <c r="B1" s="6" t="s">
        <v>165</v>
      </c>
      <c r="C1" s="6" t="s">
        <v>148</v>
      </c>
      <c r="D1" s="6" t="s">
        <v>146</v>
      </c>
      <c r="E1" s="6" t="s">
        <v>147</v>
      </c>
    </row>
    <row r="2" spans="1:5" x14ac:dyDescent="0.2">
      <c r="A2" s="5" t="s">
        <v>38</v>
      </c>
      <c r="B2" s="6" t="s">
        <v>162</v>
      </c>
      <c r="C2" s="13" t="s">
        <v>114</v>
      </c>
      <c r="D2" s="6">
        <v>11</v>
      </c>
    </row>
    <row r="3" spans="1:5" x14ac:dyDescent="0.2">
      <c r="A3" s="5" t="s">
        <v>39</v>
      </c>
      <c r="B3" s="6" t="s">
        <v>163</v>
      </c>
      <c r="C3" s="13" t="s">
        <v>114</v>
      </c>
      <c r="D3" s="6">
        <v>0</v>
      </c>
      <c r="E3" s="6" t="s">
        <v>97</v>
      </c>
    </row>
    <row r="4" spans="1:5" x14ac:dyDescent="0.2">
      <c r="A4" s="5" t="s">
        <v>40</v>
      </c>
      <c r="B4" s="6" t="s">
        <v>162</v>
      </c>
      <c r="C4" s="13" t="s">
        <v>113</v>
      </c>
      <c r="D4" s="6">
        <v>11</v>
      </c>
      <c r="E4" s="6" t="s">
        <v>98</v>
      </c>
    </row>
    <row r="5" spans="1:5" x14ac:dyDescent="0.2">
      <c r="A5" s="5" t="s">
        <v>41</v>
      </c>
      <c r="B5" s="6" t="s">
        <v>163</v>
      </c>
      <c r="C5" s="13" t="s">
        <v>113</v>
      </c>
      <c r="D5" s="6">
        <v>0</v>
      </c>
      <c r="E5" s="6"/>
    </row>
    <row r="6" spans="1:5" x14ac:dyDescent="0.2">
      <c r="A6" s="5" t="s">
        <v>42</v>
      </c>
      <c r="B6" s="6" t="s">
        <v>162</v>
      </c>
      <c r="C6" s="13" t="s">
        <v>113</v>
      </c>
      <c r="D6" s="6">
        <v>9</v>
      </c>
      <c r="E6" s="6" t="s">
        <v>98</v>
      </c>
    </row>
    <row r="7" spans="1:5" x14ac:dyDescent="0.2">
      <c r="A7" s="5" t="s">
        <v>43</v>
      </c>
      <c r="B7" s="6" t="s">
        <v>163</v>
      </c>
      <c r="C7" s="6" t="s">
        <v>113</v>
      </c>
      <c r="D7" s="6">
        <v>0</v>
      </c>
      <c r="E7" s="6" t="s">
        <v>99</v>
      </c>
    </row>
    <row r="8" spans="1:5" x14ac:dyDescent="0.2">
      <c r="A8" s="5" t="s">
        <v>44</v>
      </c>
      <c r="B8" s="6" t="s">
        <v>162</v>
      </c>
      <c r="C8" s="13" t="s">
        <v>113</v>
      </c>
      <c r="D8" s="6">
        <v>7</v>
      </c>
      <c r="E8" s="6"/>
    </row>
    <row r="9" spans="1:5" x14ac:dyDescent="0.2">
      <c r="A9" s="5" t="s">
        <v>45</v>
      </c>
      <c r="B9" s="6" t="s">
        <v>163</v>
      </c>
      <c r="C9" s="13" t="s">
        <v>113</v>
      </c>
      <c r="D9" s="6">
        <v>0</v>
      </c>
      <c r="E9" s="6"/>
    </row>
    <row r="10" spans="1:5" x14ac:dyDescent="0.2">
      <c r="A10" s="5" t="s">
        <v>46</v>
      </c>
      <c r="B10" s="6" t="s">
        <v>162</v>
      </c>
      <c r="C10" s="13" t="s">
        <v>113</v>
      </c>
      <c r="D10" s="6">
        <v>7</v>
      </c>
      <c r="E10" s="6"/>
    </row>
    <row r="11" spans="1:5" x14ac:dyDescent="0.2">
      <c r="A11" s="5" t="s">
        <v>47</v>
      </c>
      <c r="B11" s="6" t="s">
        <v>163</v>
      </c>
      <c r="C11" s="13" t="s">
        <v>113</v>
      </c>
      <c r="D11" s="6">
        <v>0</v>
      </c>
      <c r="E11" s="6" t="s">
        <v>97</v>
      </c>
    </row>
    <row r="12" spans="1:5" x14ac:dyDescent="0.2">
      <c r="A12" s="5" t="s">
        <v>48</v>
      </c>
      <c r="B12" s="6" t="s">
        <v>162</v>
      </c>
      <c r="C12" s="13" t="s">
        <v>113</v>
      </c>
      <c r="D12" s="6">
        <v>9</v>
      </c>
      <c r="E12" s="6"/>
    </row>
    <row r="13" spans="1:5" x14ac:dyDescent="0.2">
      <c r="A13" s="5" t="s">
        <v>49</v>
      </c>
      <c r="B13" s="6" t="s">
        <v>163</v>
      </c>
      <c r="C13" s="13" t="s">
        <v>113</v>
      </c>
      <c r="D13" s="6">
        <v>0</v>
      </c>
      <c r="E13" s="6"/>
    </row>
    <row r="14" spans="1:5" x14ac:dyDescent="0.2">
      <c r="A14" s="5" t="s">
        <v>50</v>
      </c>
      <c r="B14" s="6" t="s">
        <v>162</v>
      </c>
      <c r="C14" s="13" t="s">
        <v>113</v>
      </c>
      <c r="D14" s="6">
        <v>6</v>
      </c>
      <c r="E14" s="6"/>
    </row>
    <row r="15" spans="1:5" x14ac:dyDescent="0.2">
      <c r="A15" s="5" t="s">
        <v>51</v>
      </c>
      <c r="B15" s="6" t="s">
        <v>163</v>
      </c>
      <c r="C15" s="13" t="s">
        <v>113</v>
      </c>
      <c r="D15" s="6">
        <v>0</v>
      </c>
      <c r="E15" s="6" t="s">
        <v>97</v>
      </c>
    </row>
    <row r="16" spans="1:5" x14ac:dyDescent="0.2">
      <c r="A16" s="5" t="s">
        <v>52</v>
      </c>
      <c r="B16" s="6" t="s">
        <v>162</v>
      </c>
      <c r="C16" s="13" t="s">
        <v>113</v>
      </c>
      <c r="D16" s="6">
        <v>5</v>
      </c>
      <c r="E16" s="6"/>
    </row>
    <row r="17" spans="1:5" x14ac:dyDescent="0.2">
      <c r="A17" s="5" t="s">
        <v>53</v>
      </c>
      <c r="B17" s="6" t="s">
        <v>163</v>
      </c>
      <c r="C17" s="13" t="s">
        <v>113</v>
      </c>
      <c r="D17" s="6">
        <v>0</v>
      </c>
      <c r="E17" s="6" t="s">
        <v>100</v>
      </c>
    </row>
    <row r="18" spans="1:5" x14ac:dyDescent="0.2">
      <c r="A18" s="5" t="s">
        <v>54</v>
      </c>
      <c r="B18" s="6" t="s">
        <v>162</v>
      </c>
      <c r="C18" s="13" t="s">
        <v>113</v>
      </c>
      <c r="D18" s="6">
        <v>23</v>
      </c>
      <c r="E18" s="6"/>
    </row>
    <row r="19" spans="1:5" x14ac:dyDescent="0.2">
      <c r="A19" s="5" t="s">
        <v>55</v>
      </c>
      <c r="B19" s="6" t="s">
        <v>163</v>
      </c>
      <c r="C19" s="13" t="s">
        <v>113</v>
      </c>
      <c r="D19" s="6">
        <v>11</v>
      </c>
      <c r="E19" s="6"/>
    </row>
    <row r="20" spans="1:5" x14ac:dyDescent="0.2">
      <c r="A20" s="5" t="s">
        <v>56</v>
      </c>
      <c r="B20" s="6" t="s">
        <v>162</v>
      </c>
      <c r="C20" s="13" t="s">
        <v>113</v>
      </c>
      <c r="D20" s="6">
        <v>13</v>
      </c>
      <c r="E20" s="6"/>
    </row>
    <row r="21" spans="1:5" x14ac:dyDescent="0.2">
      <c r="A21" s="5" t="s">
        <v>57</v>
      </c>
      <c r="B21" s="6" t="s">
        <v>163</v>
      </c>
      <c r="C21" s="13" t="s">
        <v>113</v>
      </c>
      <c r="D21" s="6">
        <v>0</v>
      </c>
      <c r="E21" s="6" t="s">
        <v>97</v>
      </c>
    </row>
    <row r="22" spans="1:5" x14ac:dyDescent="0.2">
      <c r="A22" s="7" t="s">
        <v>3</v>
      </c>
      <c r="B22" s="6" t="s">
        <v>76</v>
      </c>
      <c r="C22" s="13" t="s">
        <v>113</v>
      </c>
      <c r="D22" s="6">
        <v>4</v>
      </c>
      <c r="E22" s="6"/>
    </row>
    <row r="23" spans="1:5" x14ac:dyDescent="0.2">
      <c r="A23" s="7" t="s">
        <v>4</v>
      </c>
      <c r="B23" s="6" t="s">
        <v>76</v>
      </c>
      <c r="C23" s="13" t="s">
        <v>113</v>
      </c>
      <c r="D23" s="6">
        <v>2</v>
      </c>
      <c r="E23" s="6"/>
    </row>
    <row r="24" spans="1:5" x14ac:dyDescent="0.2">
      <c r="A24" s="7" t="s">
        <v>5</v>
      </c>
      <c r="B24" s="6" t="s">
        <v>76</v>
      </c>
      <c r="C24" s="13" t="s">
        <v>113</v>
      </c>
      <c r="D24" s="6">
        <v>3</v>
      </c>
      <c r="E24" s="6"/>
    </row>
    <row r="25" spans="1:5" x14ac:dyDescent="0.2">
      <c r="A25" s="7" t="s">
        <v>6</v>
      </c>
      <c r="B25" s="6" t="s">
        <v>76</v>
      </c>
      <c r="C25" s="13" t="s">
        <v>113</v>
      </c>
      <c r="D25" s="6">
        <v>4</v>
      </c>
      <c r="E25" s="6"/>
    </row>
    <row r="26" spans="1:5" x14ac:dyDescent="0.2">
      <c r="A26" s="7" t="s">
        <v>7</v>
      </c>
      <c r="B26" s="6" t="s">
        <v>76</v>
      </c>
      <c r="C26" s="6" t="s">
        <v>113</v>
      </c>
      <c r="D26" s="6" t="s">
        <v>149</v>
      </c>
      <c r="E26" s="6" t="s">
        <v>116</v>
      </c>
    </row>
    <row r="27" spans="1:5" x14ac:dyDescent="0.2">
      <c r="A27" s="7" t="s">
        <v>8</v>
      </c>
      <c r="B27" s="6" t="s">
        <v>76</v>
      </c>
      <c r="C27" s="6" t="s">
        <v>113</v>
      </c>
      <c r="D27" s="6" t="s">
        <v>149</v>
      </c>
      <c r="E27" s="6" t="s">
        <v>116</v>
      </c>
    </row>
    <row r="28" spans="1:5" x14ac:dyDescent="0.2">
      <c r="A28" s="7" t="s">
        <v>9</v>
      </c>
      <c r="B28" s="6" t="s">
        <v>76</v>
      </c>
      <c r="C28" s="6" t="s">
        <v>113</v>
      </c>
      <c r="D28" s="6">
        <v>5</v>
      </c>
      <c r="E28" s="6"/>
    </row>
    <row r="29" spans="1:5" x14ac:dyDescent="0.2">
      <c r="A29" s="7" t="s">
        <v>10</v>
      </c>
      <c r="B29" s="6" t="s">
        <v>76</v>
      </c>
      <c r="C29" s="6" t="s">
        <v>113</v>
      </c>
      <c r="D29" s="6">
        <v>11</v>
      </c>
      <c r="E29" s="6" t="s">
        <v>122</v>
      </c>
    </row>
    <row r="30" spans="1:5" x14ac:dyDescent="0.2">
      <c r="A30" s="7" t="s">
        <v>11</v>
      </c>
      <c r="B30" s="6" t="s">
        <v>76</v>
      </c>
      <c r="C30" s="6" t="s">
        <v>113</v>
      </c>
      <c r="D30" s="6">
        <v>5</v>
      </c>
      <c r="E30" s="6"/>
    </row>
    <row r="31" spans="1:5" x14ac:dyDescent="0.2">
      <c r="A31" s="7" t="s">
        <v>12</v>
      </c>
      <c r="B31" s="6" t="s">
        <v>76</v>
      </c>
      <c r="C31" s="6" t="s">
        <v>113</v>
      </c>
      <c r="D31" s="6">
        <v>0</v>
      </c>
      <c r="E31" s="6"/>
    </row>
    <row r="32" spans="1:5" x14ac:dyDescent="0.2">
      <c r="A32" s="8" t="s">
        <v>18</v>
      </c>
      <c r="B32" s="6" t="s">
        <v>167</v>
      </c>
      <c r="C32" s="6" t="s">
        <v>113</v>
      </c>
      <c r="D32" s="6">
        <v>0</v>
      </c>
      <c r="E32" s="6"/>
    </row>
    <row r="33" spans="1:5" x14ac:dyDescent="0.2">
      <c r="A33" s="8" t="s">
        <v>19</v>
      </c>
      <c r="B33" s="6" t="s">
        <v>166</v>
      </c>
      <c r="C33" s="6" t="s">
        <v>113</v>
      </c>
      <c r="D33" s="6" t="s">
        <v>149</v>
      </c>
      <c r="E33" s="6" t="s">
        <v>118</v>
      </c>
    </row>
    <row r="34" spans="1:5" x14ac:dyDescent="0.2">
      <c r="A34" s="8" t="s">
        <v>20</v>
      </c>
      <c r="B34" s="6" t="s">
        <v>167</v>
      </c>
      <c r="C34" s="6" t="s">
        <v>113</v>
      </c>
      <c r="D34" s="6">
        <v>0</v>
      </c>
      <c r="E34" s="6"/>
    </row>
    <row r="35" spans="1:5" x14ac:dyDescent="0.2">
      <c r="A35" s="8" t="s">
        <v>21</v>
      </c>
      <c r="B35" s="6" t="s">
        <v>166</v>
      </c>
      <c r="C35" s="6" t="s">
        <v>113</v>
      </c>
      <c r="D35" s="6" t="s">
        <v>149</v>
      </c>
      <c r="E35" s="6" t="s">
        <v>117</v>
      </c>
    </row>
    <row r="36" spans="1:5" x14ac:dyDescent="0.2">
      <c r="A36" s="8" t="s">
        <v>22</v>
      </c>
      <c r="B36" s="6" t="s">
        <v>167</v>
      </c>
      <c r="C36" s="6" t="s">
        <v>113</v>
      </c>
      <c r="D36" s="6">
        <v>0</v>
      </c>
      <c r="E36" s="6"/>
    </row>
    <row r="37" spans="1:5" x14ac:dyDescent="0.2">
      <c r="A37" s="8" t="s">
        <v>23</v>
      </c>
      <c r="B37" s="6" t="s">
        <v>166</v>
      </c>
      <c r="C37" s="6" t="s">
        <v>113</v>
      </c>
      <c r="D37" s="6">
        <v>0</v>
      </c>
      <c r="E37" s="6"/>
    </row>
    <row r="38" spans="1:5" x14ac:dyDescent="0.2">
      <c r="A38" s="8" t="s">
        <v>24</v>
      </c>
      <c r="B38" s="6" t="s">
        <v>167</v>
      </c>
      <c r="C38" s="6" t="s">
        <v>113</v>
      </c>
      <c r="D38" s="6">
        <v>0</v>
      </c>
      <c r="E38" s="6"/>
    </row>
    <row r="39" spans="1:5" x14ac:dyDescent="0.2">
      <c r="A39" s="8" t="s">
        <v>25</v>
      </c>
      <c r="B39" s="6" t="s">
        <v>166</v>
      </c>
      <c r="C39" s="6" t="s">
        <v>113</v>
      </c>
      <c r="D39" s="6">
        <v>0</v>
      </c>
      <c r="E39" s="6"/>
    </row>
    <row r="40" spans="1:5" x14ac:dyDescent="0.2">
      <c r="A40" s="8" t="s">
        <v>26</v>
      </c>
      <c r="B40" s="6" t="s">
        <v>167</v>
      </c>
      <c r="C40" s="6" t="s">
        <v>113</v>
      </c>
      <c r="D40" s="6">
        <v>0</v>
      </c>
      <c r="E40" s="6"/>
    </row>
    <row r="41" spans="1:5" x14ac:dyDescent="0.2">
      <c r="A41" s="8" t="s">
        <v>27</v>
      </c>
      <c r="B41" s="6" t="s">
        <v>166</v>
      </c>
      <c r="C41" s="6" t="s">
        <v>113</v>
      </c>
      <c r="D41" s="6">
        <v>0</v>
      </c>
      <c r="E41" s="6"/>
    </row>
    <row r="42" spans="1:5" x14ac:dyDescent="0.2">
      <c r="A42" s="8" t="s">
        <v>28</v>
      </c>
      <c r="B42" s="6" t="s">
        <v>167</v>
      </c>
      <c r="C42" s="6" t="s">
        <v>113</v>
      </c>
      <c r="D42" s="6">
        <v>0</v>
      </c>
      <c r="E42" s="6"/>
    </row>
    <row r="43" spans="1:5" x14ac:dyDescent="0.2">
      <c r="A43" s="8" t="s">
        <v>29</v>
      </c>
      <c r="B43" s="6" t="s">
        <v>166</v>
      </c>
      <c r="C43" s="6" t="s">
        <v>113</v>
      </c>
      <c r="D43" s="6">
        <v>0</v>
      </c>
      <c r="E43" s="6"/>
    </row>
    <row r="44" spans="1:5" x14ac:dyDescent="0.2">
      <c r="A44" s="8" t="s">
        <v>30</v>
      </c>
      <c r="B44" s="6" t="s">
        <v>167</v>
      </c>
      <c r="C44" s="6" t="s">
        <v>113</v>
      </c>
      <c r="D44" s="6">
        <v>0</v>
      </c>
      <c r="E44" s="6"/>
    </row>
    <row r="45" spans="1:5" x14ac:dyDescent="0.2">
      <c r="A45" s="8" t="s">
        <v>31</v>
      </c>
      <c r="B45" s="6" t="s">
        <v>166</v>
      </c>
      <c r="C45" s="6" t="s">
        <v>113</v>
      </c>
      <c r="D45" s="6">
        <v>0</v>
      </c>
      <c r="E45" s="6"/>
    </row>
    <row r="46" spans="1:5" x14ac:dyDescent="0.2">
      <c r="A46" s="8" t="s">
        <v>32</v>
      </c>
      <c r="B46" s="6" t="s">
        <v>167</v>
      </c>
      <c r="C46" s="6" t="s">
        <v>113</v>
      </c>
      <c r="D46" s="6">
        <v>0</v>
      </c>
      <c r="E46" s="6"/>
    </row>
    <row r="47" spans="1:5" x14ac:dyDescent="0.2">
      <c r="A47" s="8" t="s">
        <v>33</v>
      </c>
      <c r="B47" s="6" t="s">
        <v>166</v>
      </c>
      <c r="C47" s="6" t="s">
        <v>113</v>
      </c>
      <c r="D47" s="6">
        <v>0</v>
      </c>
      <c r="E47" s="6"/>
    </row>
    <row r="48" spans="1:5" x14ac:dyDescent="0.2">
      <c r="A48" s="8" t="s">
        <v>34</v>
      </c>
      <c r="B48" s="6" t="s">
        <v>167</v>
      </c>
      <c r="C48" s="6" t="s">
        <v>113</v>
      </c>
      <c r="D48" s="6">
        <v>0</v>
      </c>
      <c r="E48" s="6"/>
    </row>
    <row r="49" spans="1:5" x14ac:dyDescent="0.2">
      <c r="A49" s="8" t="s">
        <v>35</v>
      </c>
      <c r="B49" s="6" t="s">
        <v>166</v>
      </c>
      <c r="C49" s="6" t="s">
        <v>113</v>
      </c>
      <c r="D49" s="6">
        <v>0</v>
      </c>
      <c r="E49" s="6"/>
    </row>
    <row r="50" spans="1:5" x14ac:dyDescent="0.2">
      <c r="A50" s="8" t="s">
        <v>36</v>
      </c>
      <c r="B50" s="6" t="s">
        <v>167</v>
      </c>
      <c r="C50" s="6" t="s">
        <v>113</v>
      </c>
      <c r="D50" s="6">
        <v>0</v>
      </c>
      <c r="E50" s="6"/>
    </row>
    <row r="51" spans="1:5" x14ac:dyDescent="0.2">
      <c r="A51" s="8" t="s">
        <v>37</v>
      </c>
      <c r="B51" s="6" t="s">
        <v>166</v>
      </c>
      <c r="C51" s="6" t="s">
        <v>113</v>
      </c>
      <c r="D51" s="6">
        <v>0</v>
      </c>
      <c r="E51" s="6"/>
    </row>
    <row r="52" spans="1:5" x14ac:dyDescent="0.2">
      <c r="A52" s="6" t="s">
        <v>14</v>
      </c>
      <c r="B52" s="6" t="s">
        <v>164</v>
      </c>
      <c r="C52" s="6" t="s">
        <v>113</v>
      </c>
      <c r="D52" s="6">
        <v>7</v>
      </c>
      <c r="E52" s="6"/>
    </row>
    <row r="53" spans="1:5" x14ac:dyDescent="0.2">
      <c r="A53" s="6" t="s">
        <v>15</v>
      </c>
      <c r="B53" s="6" t="s">
        <v>164</v>
      </c>
      <c r="C53" s="6" t="s">
        <v>113</v>
      </c>
      <c r="D53" s="6">
        <v>7</v>
      </c>
      <c r="E53" s="6"/>
    </row>
    <row r="54" spans="1:5" x14ac:dyDescent="0.2">
      <c r="A54" s="6" t="s">
        <v>16</v>
      </c>
      <c r="B54" s="6" t="s">
        <v>164</v>
      </c>
      <c r="C54" s="6" t="s">
        <v>113</v>
      </c>
      <c r="D54" s="6">
        <v>0</v>
      </c>
      <c r="E54" s="6"/>
    </row>
    <row r="55" spans="1:5" x14ac:dyDescent="0.2">
      <c r="A55" s="6" t="s">
        <v>17</v>
      </c>
      <c r="B55" s="6" t="s">
        <v>164</v>
      </c>
      <c r="C55" s="6" t="s">
        <v>113</v>
      </c>
      <c r="D55" s="6">
        <v>0</v>
      </c>
      <c r="E55" s="6"/>
    </row>
    <row r="56" spans="1:5" x14ac:dyDescent="0.2">
      <c r="A56" s="6" t="s">
        <v>58</v>
      </c>
      <c r="B56" s="6" t="s">
        <v>164</v>
      </c>
      <c r="C56" s="6" t="s">
        <v>113</v>
      </c>
      <c r="D56" s="6">
        <v>8</v>
      </c>
      <c r="E56" s="6"/>
    </row>
    <row r="57" spans="1:5" x14ac:dyDescent="0.2">
      <c r="A57" s="6" t="s">
        <v>59</v>
      </c>
      <c r="B57" s="6" t="s">
        <v>164</v>
      </c>
      <c r="C57" s="6" t="s">
        <v>113</v>
      </c>
      <c r="D57" s="6">
        <v>5</v>
      </c>
      <c r="E57" s="6"/>
    </row>
    <row r="58" spans="1:5" x14ac:dyDescent="0.2">
      <c r="A58" s="5" t="s">
        <v>38</v>
      </c>
      <c r="B58" s="6" t="s">
        <v>162</v>
      </c>
      <c r="C58" s="6" t="s">
        <v>145</v>
      </c>
      <c r="D58" s="6">
        <v>12</v>
      </c>
      <c r="E58" s="6"/>
    </row>
    <row r="59" spans="1:5" x14ac:dyDescent="0.2">
      <c r="A59" s="5" t="s">
        <v>39</v>
      </c>
      <c r="B59" s="6" t="s">
        <v>163</v>
      </c>
      <c r="C59" s="6" t="s">
        <v>145</v>
      </c>
      <c r="D59" s="6">
        <v>0</v>
      </c>
      <c r="E59" s="6" t="s">
        <v>139</v>
      </c>
    </row>
    <row r="60" spans="1:5" x14ac:dyDescent="0.2">
      <c r="A60" s="5" t="s">
        <v>40</v>
      </c>
      <c r="B60" s="6" t="s">
        <v>162</v>
      </c>
      <c r="C60" s="6" t="s">
        <v>144</v>
      </c>
      <c r="D60" s="6">
        <v>8</v>
      </c>
      <c r="E60" s="6"/>
    </row>
    <row r="61" spans="1:5" x14ac:dyDescent="0.2">
      <c r="A61" s="5" t="s">
        <v>41</v>
      </c>
      <c r="B61" s="6" t="s">
        <v>163</v>
      </c>
      <c r="C61" s="6" t="s">
        <v>144</v>
      </c>
      <c r="D61" s="6">
        <v>0</v>
      </c>
      <c r="E61" s="6" t="s">
        <v>139</v>
      </c>
    </row>
    <row r="62" spans="1:5" x14ac:dyDescent="0.2">
      <c r="A62" s="5" t="s">
        <v>42</v>
      </c>
      <c r="B62" s="6" t="s">
        <v>162</v>
      </c>
      <c r="C62" s="6" t="s">
        <v>144</v>
      </c>
      <c r="D62" s="6">
        <v>8</v>
      </c>
      <c r="E62" s="6"/>
    </row>
    <row r="63" spans="1:5" x14ac:dyDescent="0.2">
      <c r="A63" s="5" t="s">
        <v>43</v>
      </c>
      <c r="B63" s="6" t="s">
        <v>163</v>
      </c>
      <c r="C63" s="6" t="s">
        <v>144</v>
      </c>
      <c r="D63" s="6">
        <v>0</v>
      </c>
      <c r="E63" s="6" t="s">
        <v>139</v>
      </c>
    </row>
    <row r="64" spans="1:5" x14ac:dyDescent="0.2">
      <c r="A64" s="5" t="s">
        <v>44</v>
      </c>
      <c r="B64" s="6" t="s">
        <v>162</v>
      </c>
      <c r="C64" s="6" t="s">
        <v>144</v>
      </c>
      <c r="D64" s="6">
        <v>7</v>
      </c>
      <c r="E64" s="6" t="s">
        <v>130</v>
      </c>
    </row>
    <row r="65" spans="1:5" x14ac:dyDescent="0.2">
      <c r="A65" s="5" t="s">
        <v>45</v>
      </c>
      <c r="B65" s="6" t="s">
        <v>163</v>
      </c>
      <c r="C65" s="6" t="s">
        <v>144</v>
      </c>
      <c r="D65" s="6">
        <v>0</v>
      </c>
      <c r="E65" s="6" t="s">
        <v>139</v>
      </c>
    </row>
    <row r="66" spans="1:5" x14ac:dyDescent="0.2">
      <c r="A66" s="5" t="s">
        <v>46</v>
      </c>
      <c r="B66" s="6" t="s">
        <v>162</v>
      </c>
      <c r="C66" s="6" t="s">
        <v>144</v>
      </c>
      <c r="D66" s="6">
        <v>0</v>
      </c>
      <c r="E66" s="6" t="s">
        <v>139</v>
      </c>
    </row>
    <row r="67" spans="1:5" x14ac:dyDescent="0.2">
      <c r="A67" s="5" t="s">
        <v>47</v>
      </c>
      <c r="B67" s="6" t="s">
        <v>163</v>
      </c>
      <c r="C67" s="6" t="s">
        <v>144</v>
      </c>
      <c r="D67" s="6">
        <v>0</v>
      </c>
      <c r="E67" s="6" t="s">
        <v>139</v>
      </c>
    </row>
    <row r="68" spans="1:5" x14ac:dyDescent="0.2">
      <c r="A68" s="5" t="s">
        <v>48</v>
      </c>
      <c r="B68" s="6" t="s">
        <v>162</v>
      </c>
      <c r="C68" s="6" t="s">
        <v>144</v>
      </c>
      <c r="D68" s="6">
        <v>8</v>
      </c>
      <c r="E68" s="6"/>
    </row>
    <row r="69" spans="1:5" x14ac:dyDescent="0.2">
      <c r="A69" s="5" t="s">
        <v>49</v>
      </c>
      <c r="B69" s="6" t="s">
        <v>163</v>
      </c>
      <c r="C69" s="6" t="s">
        <v>144</v>
      </c>
      <c r="D69" s="6">
        <v>0</v>
      </c>
      <c r="E69" s="6" t="s">
        <v>139</v>
      </c>
    </row>
    <row r="70" spans="1:5" x14ac:dyDescent="0.2">
      <c r="A70" s="5" t="s">
        <v>50</v>
      </c>
      <c r="B70" s="6" t="s">
        <v>162</v>
      </c>
      <c r="C70" s="6" t="s">
        <v>144</v>
      </c>
      <c r="D70" s="6">
        <v>0</v>
      </c>
      <c r="E70" s="6" t="s">
        <v>139</v>
      </c>
    </row>
    <row r="71" spans="1:5" x14ac:dyDescent="0.2">
      <c r="A71" s="5" t="s">
        <v>51</v>
      </c>
      <c r="B71" s="6" t="s">
        <v>163</v>
      </c>
      <c r="C71" s="6" t="s">
        <v>144</v>
      </c>
      <c r="D71" s="6">
        <v>0</v>
      </c>
      <c r="E71" s="6" t="s">
        <v>139</v>
      </c>
    </row>
    <row r="72" spans="1:5" x14ac:dyDescent="0.2">
      <c r="A72" s="5" t="s">
        <v>52</v>
      </c>
      <c r="B72" s="6" t="s">
        <v>162</v>
      </c>
      <c r="C72" s="6" t="s">
        <v>144</v>
      </c>
      <c r="D72" s="6">
        <v>0</v>
      </c>
      <c r="E72" s="6"/>
    </row>
    <row r="73" spans="1:5" x14ac:dyDescent="0.2">
      <c r="A73" s="5" t="s">
        <v>53</v>
      </c>
      <c r="B73" s="6" t="s">
        <v>163</v>
      </c>
      <c r="C73" s="6" t="s">
        <v>144</v>
      </c>
      <c r="D73" s="6">
        <v>0</v>
      </c>
      <c r="E73" s="6" t="s">
        <v>139</v>
      </c>
    </row>
    <row r="74" spans="1:5" x14ac:dyDescent="0.2">
      <c r="A74" s="5" t="s">
        <v>142</v>
      </c>
      <c r="B74" s="6" t="s">
        <v>162</v>
      </c>
      <c r="C74" s="6" t="s">
        <v>144</v>
      </c>
      <c r="D74" s="6">
        <v>20</v>
      </c>
      <c r="E74" s="6"/>
    </row>
    <row r="75" spans="1:5" x14ac:dyDescent="0.2">
      <c r="A75" s="5" t="s">
        <v>143</v>
      </c>
      <c r="B75" s="6" t="s">
        <v>163</v>
      </c>
      <c r="C75" s="6" t="s">
        <v>144</v>
      </c>
      <c r="D75" s="6">
        <v>6</v>
      </c>
      <c r="E75" s="6"/>
    </row>
    <row r="76" spans="1:5" x14ac:dyDescent="0.2">
      <c r="A76" s="5" t="s">
        <v>56</v>
      </c>
      <c r="B76" s="6" t="s">
        <v>162</v>
      </c>
      <c r="C76" s="6" t="s">
        <v>144</v>
      </c>
      <c r="D76" s="6">
        <v>0</v>
      </c>
      <c r="E76" s="6" t="s">
        <v>139</v>
      </c>
    </row>
    <row r="77" spans="1:5" x14ac:dyDescent="0.2">
      <c r="A77" s="5" t="s">
        <v>57</v>
      </c>
      <c r="B77" s="6" t="s">
        <v>163</v>
      </c>
      <c r="C77" s="6" t="s">
        <v>144</v>
      </c>
      <c r="D77" s="6">
        <v>0</v>
      </c>
      <c r="E77" s="6" t="s">
        <v>139</v>
      </c>
    </row>
    <row r="78" spans="1:5" x14ac:dyDescent="0.2">
      <c r="A78" s="7" t="s">
        <v>3</v>
      </c>
      <c r="B78" s="6" t="s">
        <v>76</v>
      </c>
      <c r="C78" s="6" t="s">
        <v>144</v>
      </c>
      <c r="D78" s="6">
        <v>0</v>
      </c>
      <c r="E78" s="6" t="s">
        <v>139</v>
      </c>
    </row>
    <row r="79" spans="1:5" x14ac:dyDescent="0.2">
      <c r="A79" s="7" t="s">
        <v>4</v>
      </c>
      <c r="B79" s="6" t="s">
        <v>76</v>
      </c>
      <c r="C79" s="6" t="s">
        <v>144</v>
      </c>
      <c r="D79" s="6">
        <v>5</v>
      </c>
      <c r="E79" s="6"/>
    </row>
    <row r="80" spans="1:5" x14ac:dyDescent="0.2">
      <c r="A80" s="7" t="s">
        <v>5</v>
      </c>
      <c r="B80" s="6" t="s">
        <v>76</v>
      </c>
      <c r="C80" s="6" t="s">
        <v>144</v>
      </c>
      <c r="D80" s="6">
        <v>3</v>
      </c>
      <c r="E80" s="6"/>
    </row>
    <row r="81" spans="1:5" x14ac:dyDescent="0.2">
      <c r="A81" s="7" t="s">
        <v>6</v>
      </c>
      <c r="B81" s="6" t="s">
        <v>76</v>
      </c>
      <c r="C81" s="6" t="s">
        <v>144</v>
      </c>
      <c r="D81" s="6">
        <v>5</v>
      </c>
      <c r="E81" s="6"/>
    </row>
    <row r="82" spans="1:5" x14ac:dyDescent="0.2">
      <c r="A82" s="7" t="s">
        <v>7</v>
      </c>
      <c r="B82" s="6" t="s">
        <v>76</v>
      </c>
      <c r="C82" s="6" t="s">
        <v>144</v>
      </c>
      <c r="D82" s="6">
        <v>2</v>
      </c>
      <c r="E82" s="6"/>
    </row>
    <row r="83" spans="1:5" x14ac:dyDescent="0.2">
      <c r="A83" s="7" t="s">
        <v>8</v>
      </c>
      <c r="B83" s="6" t="s">
        <v>76</v>
      </c>
      <c r="C83" s="6" t="s">
        <v>144</v>
      </c>
      <c r="D83" s="6">
        <v>8</v>
      </c>
      <c r="E83" s="6"/>
    </row>
    <row r="84" spans="1:5" x14ac:dyDescent="0.2">
      <c r="A84" s="7" t="s">
        <v>9</v>
      </c>
      <c r="B84" s="6" t="s">
        <v>76</v>
      </c>
      <c r="C84" s="6" t="s">
        <v>144</v>
      </c>
      <c r="D84" s="6">
        <v>6</v>
      </c>
      <c r="E84" s="6"/>
    </row>
    <row r="85" spans="1:5" x14ac:dyDescent="0.2">
      <c r="A85" s="7" t="s">
        <v>10</v>
      </c>
      <c r="B85" s="6" t="s">
        <v>76</v>
      </c>
      <c r="C85" s="6" t="s">
        <v>144</v>
      </c>
      <c r="D85" s="6">
        <v>18</v>
      </c>
      <c r="E85" s="6"/>
    </row>
    <row r="86" spans="1:5" x14ac:dyDescent="0.2">
      <c r="A86" s="7" t="s">
        <v>11</v>
      </c>
      <c r="B86" s="6" t="s">
        <v>76</v>
      </c>
      <c r="C86" s="6" t="s">
        <v>144</v>
      </c>
      <c r="D86" s="6">
        <v>13</v>
      </c>
      <c r="E86" s="6"/>
    </row>
    <row r="87" spans="1:5" x14ac:dyDescent="0.2">
      <c r="A87" s="7" t="s">
        <v>12</v>
      </c>
      <c r="B87" s="6" t="s">
        <v>76</v>
      </c>
      <c r="C87" s="6" t="s">
        <v>144</v>
      </c>
      <c r="D87" s="6">
        <v>0</v>
      </c>
      <c r="E87" s="6"/>
    </row>
    <row r="88" spans="1:5" x14ac:dyDescent="0.2">
      <c r="A88" s="22" t="s">
        <v>18</v>
      </c>
      <c r="B88" s="6" t="s">
        <v>167</v>
      </c>
      <c r="C88" s="6" t="s">
        <v>144</v>
      </c>
      <c r="D88" s="6">
        <v>11</v>
      </c>
      <c r="E88" s="6"/>
    </row>
    <row r="89" spans="1:5" x14ac:dyDescent="0.2">
      <c r="A89" s="22" t="s">
        <v>19</v>
      </c>
      <c r="B89" s="6" t="s">
        <v>166</v>
      </c>
      <c r="C89" s="6" t="s">
        <v>144</v>
      </c>
      <c r="D89" s="6">
        <v>0</v>
      </c>
      <c r="E89" s="6"/>
    </row>
    <row r="90" spans="1:5" x14ac:dyDescent="0.2">
      <c r="A90" s="22" t="s">
        <v>20</v>
      </c>
      <c r="B90" s="6" t="s">
        <v>167</v>
      </c>
      <c r="C90" s="6" t="s">
        <v>144</v>
      </c>
      <c r="D90" s="6">
        <v>4</v>
      </c>
      <c r="E90" s="6"/>
    </row>
    <row r="91" spans="1:5" x14ac:dyDescent="0.2">
      <c r="A91" s="22" t="s">
        <v>21</v>
      </c>
      <c r="B91" s="6" t="s">
        <v>166</v>
      </c>
      <c r="C91" s="6" t="s">
        <v>144</v>
      </c>
      <c r="D91" s="6">
        <v>0</v>
      </c>
      <c r="E91" s="6"/>
    </row>
    <row r="92" spans="1:5" x14ac:dyDescent="0.2">
      <c r="A92" s="22" t="s">
        <v>22</v>
      </c>
      <c r="B92" s="6" t="s">
        <v>167</v>
      </c>
      <c r="C92" s="6" t="s">
        <v>144</v>
      </c>
      <c r="D92" s="6">
        <v>0</v>
      </c>
      <c r="E92" s="6" t="s">
        <v>139</v>
      </c>
    </row>
    <row r="93" spans="1:5" x14ac:dyDescent="0.2">
      <c r="A93" s="22" t="s">
        <v>23</v>
      </c>
      <c r="B93" s="6" t="s">
        <v>166</v>
      </c>
      <c r="C93" s="6" t="s">
        <v>144</v>
      </c>
      <c r="D93" s="6">
        <v>0</v>
      </c>
      <c r="E93" s="6" t="s">
        <v>139</v>
      </c>
    </row>
    <row r="94" spans="1:5" x14ac:dyDescent="0.2">
      <c r="A94" s="22" t="s">
        <v>24</v>
      </c>
      <c r="B94" s="6" t="s">
        <v>167</v>
      </c>
      <c r="C94" s="6" t="s">
        <v>144</v>
      </c>
      <c r="D94" s="6">
        <v>2</v>
      </c>
      <c r="E94" s="6"/>
    </row>
    <row r="95" spans="1:5" x14ac:dyDescent="0.2">
      <c r="A95" s="22" t="s">
        <v>25</v>
      </c>
      <c r="B95" s="6" t="s">
        <v>166</v>
      </c>
      <c r="C95" s="6" t="s">
        <v>144</v>
      </c>
      <c r="D95" s="6">
        <v>0</v>
      </c>
      <c r="E95" s="6"/>
    </row>
    <row r="96" spans="1:5" x14ac:dyDescent="0.2">
      <c r="A96" s="22" t="s">
        <v>26</v>
      </c>
      <c r="B96" s="6" t="s">
        <v>167</v>
      </c>
      <c r="C96" s="6" t="s">
        <v>144</v>
      </c>
      <c r="D96" s="6">
        <v>1</v>
      </c>
      <c r="E96" s="6" t="s">
        <v>141</v>
      </c>
    </row>
    <row r="97" spans="1:5" x14ac:dyDescent="0.2">
      <c r="A97" s="22" t="s">
        <v>27</v>
      </c>
      <c r="B97" s="6" t="s">
        <v>166</v>
      </c>
      <c r="C97" s="6" t="s">
        <v>144</v>
      </c>
      <c r="D97" s="6">
        <v>0</v>
      </c>
      <c r="E97" s="6" t="s">
        <v>139</v>
      </c>
    </row>
    <row r="98" spans="1:5" x14ac:dyDescent="0.2">
      <c r="A98" s="22" t="s">
        <v>28</v>
      </c>
      <c r="B98" s="6" t="s">
        <v>167</v>
      </c>
      <c r="C98" s="6" t="s">
        <v>144</v>
      </c>
      <c r="D98" s="6">
        <v>3</v>
      </c>
      <c r="E98" s="6"/>
    </row>
    <row r="99" spans="1:5" x14ac:dyDescent="0.2">
      <c r="A99" s="22" t="s">
        <v>29</v>
      </c>
      <c r="B99" s="6" t="s">
        <v>166</v>
      </c>
      <c r="C99" s="6" t="s">
        <v>144</v>
      </c>
      <c r="D99" s="6">
        <v>0</v>
      </c>
      <c r="E99" s="6"/>
    </row>
    <row r="100" spans="1:5" x14ac:dyDescent="0.2">
      <c r="A100" s="22" t="s">
        <v>30</v>
      </c>
      <c r="B100" s="6" t="s">
        <v>167</v>
      </c>
      <c r="C100" s="6" t="s">
        <v>144</v>
      </c>
      <c r="D100" s="6">
        <v>2</v>
      </c>
      <c r="E100" s="6"/>
    </row>
    <row r="101" spans="1:5" x14ac:dyDescent="0.2">
      <c r="A101" s="22" t="s">
        <v>31</v>
      </c>
      <c r="B101" s="6" t="s">
        <v>166</v>
      </c>
      <c r="C101" s="6" t="s">
        <v>144</v>
      </c>
      <c r="D101" s="6">
        <v>0</v>
      </c>
      <c r="E101" s="6"/>
    </row>
    <row r="102" spans="1:5" x14ac:dyDescent="0.2">
      <c r="A102" s="22" t="s">
        <v>32</v>
      </c>
      <c r="B102" s="6" t="s">
        <v>167</v>
      </c>
      <c r="C102" s="6" t="s">
        <v>144</v>
      </c>
      <c r="D102" s="6">
        <v>0</v>
      </c>
      <c r="E102" s="6"/>
    </row>
    <row r="103" spans="1:5" x14ac:dyDescent="0.2">
      <c r="A103" s="22" t="s">
        <v>33</v>
      </c>
      <c r="B103" s="6" t="s">
        <v>166</v>
      </c>
      <c r="C103" s="6" t="s">
        <v>144</v>
      </c>
      <c r="D103" s="6">
        <v>1</v>
      </c>
      <c r="E103" s="6"/>
    </row>
    <row r="104" spans="1:5" x14ac:dyDescent="0.2">
      <c r="A104" s="22" t="s">
        <v>34</v>
      </c>
      <c r="B104" s="6" t="s">
        <v>167</v>
      </c>
      <c r="C104" s="6" t="s">
        <v>144</v>
      </c>
      <c r="D104" s="6">
        <v>5</v>
      </c>
      <c r="E104" s="6"/>
    </row>
    <row r="105" spans="1:5" x14ac:dyDescent="0.2">
      <c r="A105" s="22" t="s">
        <v>35</v>
      </c>
      <c r="B105" s="6" t="s">
        <v>166</v>
      </c>
      <c r="C105" s="6" t="s">
        <v>144</v>
      </c>
      <c r="D105" s="6">
        <v>0</v>
      </c>
      <c r="E105" s="6"/>
    </row>
    <row r="106" spans="1:5" x14ac:dyDescent="0.2">
      <c r="A106" s="22" t="s">
        <v>36</v>
      </c>
      <c r="B106" s="6" t="s">
        <v>167</v>
      </c>
      <c r="C106" s="6" t="s">
        <v>144</v>
      </c>
      <c r="D106" s="6">
        <v>0</v>
      </c>
      <c r="E106" s="6"/>
    </row>
    <row r="107" spans="1:5" x14ac:dyDescent="0.2">
      <c r="A107" s="22" t="s">
        <v>37</v>
      </c>
      <c r="B107" s="6" t="s">
        <v>166</v>
      </c>
      <c r="C107" s="6" t="s">
        <v>144</v>
      </c>
      <c r="D107" s="6">
        <v>1</v>
      </c>
      <c r="E107" s="6"/>
    </row>
    <row r="108" spans="1:5" x14ac:dyDescent="0.2">
      <c r="A108" s="6" t="s">
        <v>14</v>
      </c>
      <c r="B108" s="6" t="s">
        <v>164</v>
      </c>
      <c r="C108" s="6" t="s">
        <v>144</v>
      </c>
      <c r="D108" s="6">
        <v>0</v>
      </c>
      <c r="E108" s="6"/>
    </row>
    <row r="109" spans="1:5" x14ac:dyDescent="0.2">
      <c r="A109" s="6" t="s">
        <v>15</v>
      </c>
      <c r="B109" s="6" t="s">
        <v>164</v>
      </c>
      <c r="C109" s="6" t="s">
        <v>144</v>
      </c>
      <c r="D109" s="6">
        <v>3</v>
      </c>
      <c r="E109" s="6"/>
    </row>
    <row r="110" spans="1:5" x14ac:dyDescent="0.2">
      <c r="A110" s="6" t="s">
        <v>16</v>
      </c>
      <c r="B110" s="6" t="s">
        <v>164</v>
      </c>
      <c r="C110" s="6" t="s">
        <v>144</v>
      </c>
      <c r="D110" s="6">
        <v>0</v>
      </c>
      <c r="E110" s="6"/>
    </row>
    <row r="111" spans="1:5" x14ac:dyDescent="0.2">
      <c r="A111" s="6" t="s">
        <v>17</v>
      </c>
      <c r="B111" s="6" t="s">
        <v>164</v>
      </c>
      <c r="C111" s="6" t="s">
        <v>144</v>
      </c>
      <c r="D111" s="6">
        <v>2</v>
      </c>
      <c r="E111" s="6"/>
    </row>
    <row r="112" spans="1:5" x14ac:dyDescent="0.2">
      <c r="A112" s="6" t="s">
        <v>58</v>
      </c>
      <c r="B112" s="6" t="s">
        <v>164</v>
      </c>
      <c r="C112" s="6" t="s">
        <v>144</v>
      </c>
      <c r="D112" s="6" t="s">
        <v>149</v>
      </c>
      <c r="E112" s="6" t="s">
        <v>150</v>
      </c>
    </row>
    <row r="113" spans="1:5" x14ac:dyDescent="0.2">
      <c r="A113" s="6" t="s">
        <v>59</v>
      </c>
      <c r="B113" s="6" t="s">
        <v>164</v>
      </c>
      <c r="C113" s="6" t="s">
        <v>144</v>
      </c>
      <c r="D113" s="6" t="s">
        <v>149</v>
      </c>
      <c r="E113" s="6" t="s">
        <v>150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7"/>
  <sheetViews>
    <sheetView topLeftCell="A13" workbookViewId="0">
      <selection activeCell="B32" sqref="B32"/>
    </sheetView>
  </sheetViews>
  <sheetFormatPr baseColWidth="10" defaultColWidth="8.83203125" defaultRowHeight="15" x14ac:dyDescent="0.2"/>
  <cols>
    <col min="1" max="1" width="11" customWidth="1"/>
    <col min="2" max="2" width="27" customWidth="1"/>
    <col min="3" max="5" width="8.83203125" style="6"/>
  </cols>
  <sheetData>
    <row r="1" spans="1:5" x14ac:dyDescent="0.2">
      <c r="A1" s="15" t="s">
        <v>0</v>
      </c>
      <c r="B1" t="s">
        <v>165</v>
      </c>
      <c r="C1" s="32" t="s">
        <v>151</v>
      </c>
      <c r="D1" s="32" t="s">
        <v>152</v>
      </c>
      <c r="E1" s="6" t="s">
        <v>153</v>
      </c>
    </row>
    <row r="2" spans="1:5" x14ac:dyDescent="0.2">
      <c r="A2" s="23" t="s">
        <v>38</v>
      </c>
      <c r="B2" s="6" t="s">
        <v>162</v>
      </c>
      <c r="C2" s="30">
        <v>52.89</v>
      </c>
      <c r="D2" s="30">
        <v>34.51</v>
      </c>
    </row>
    <row r="3" spans="1:5" x14ac:dyDescent="0.2">
      <c r="A3" s="23" t="s">
        <v>39</v>
      </c>
      <c r="B3" s="6" t="s">
        <v>163</v>
      </c>
      <c r="C3" s="30">
        <v>0</v>
      </c>
      <c r="D3" s="30">
        <v>0</v>
      </c>
      <c r="E3" s="30" t="s">
        <v>154</v>
      </c>
    </row>
    <row r="4" spans="1:5" x14ac:dyDescent="0.2">
      <c r="A4" s="23" t="s">
        <v>40</v>
      </c>
      <c r="B4" s="6" t="s">
        <v>162</v>
      </c>
      <c r="C4" s="30">
        <v>43.79</v>
      </c>
      <c r="D4" s="30">
        <v>16.05</v>
      </c>
    </row>
    <row r="5" spans="1:5" x14ac:dyDescent="0.2">
      <c r="A5" s="23" t="s">
        <v>41</v>
      </c>
      <c r="B5" s="6" t="s">
        <v>163</v>
      </c>
      <c r="C5" s="30">
        <v>0</v>
      </c>
      <c r="D5" s="30">
        <v>0</v>
      </c>
      <c r="E5" s="30" t="s">
        <v>154</v>
      </c>
    </row>
    <row r="6" spans="1:5" x14ac:dyDescent="0.2">
      <c r="A6" s="23" t="s">
        <v>42</v>
      </c>
      <c r="B6" s="6" t="s">
        <v>162</v>
      </c>
      <c r="C6" s="30">
        <v>28.82</v>
      </c>
      <c r="D6" s="30">
        <v>14.82</v>
      </c>
    </row>
    <row r="7" spans="1:5" x14ac:dyDescent="0.2">
      <c r="A7" s="23" t="s">
        <v>43</v>
      </c>
      <c r="B7" s="6" t="s">
        <v>163</v>
      </c>
      <c r="C7" s="30">
        <v>0</v>
      </c>
      <c r="D7" s="30">
        <v>0</v>
      </c>
      <c r="E7" s="30" t="s">
        <v>154</v>
      </c>
    </row>
    <row r="8" spans="1:5" x14ac:dyDescent="0.2">
      <c r="A8" s="23" t="s">
        <v>44</v>
      </c>
      <c r="B8" s="6" t="s">
        <v>162</v>
      </c>
      <c r="C8" s="30">
        <v>27.78</v>
      </c>
      <c r="D8" s="30">
        <v>19.440000000000001</v>
      </c>
    </row>
    <row r="9" spans="1:5" x14ac:dyDescent="0.2">
      <c r="A9" s="23" t="s">
        <v>45</v>
      </c>
      <c r="B9" s="6" t="s">
        <v>163</v>
      </c>
      <c r="C9" s="30">
        <v>0</v>
      </c>
      <c r="D9" s="30">
        <v>0</v>
      </c>
      <c r="E9" s="30" t="s">
        <v>154</v>
      </c>
    </row>
    <row r="10" spans="1:5" x14ac:dyDescent="0.2">
      <c r="A10" s="23" t="s">
        <v>46</v>
      </c>
      <c r="B10" s="6" t="s">
        <v>162</v>
      </c>
      <c r="C10" s="30">
        <v>0</v>
      </c>
      <c r="D10" s="30">
        <v>0</v>
      </c>
      <c r="E10" s="30" t="s">
        <v>154</v>
      </c>
    </row>
    <row r="11" spans="1:5" x14ac:dyDescent="0.2">
      <c r="A11" s="23" t="s">
        <v>47</v>
      </c>
      <c r="B11" s="6" t="s">
        <v>163</v>
      </c>
      <c r="C11" s="30">
        <v>0</v>
      </c>
      <c r="D11" s="30">
        <v>0</v>
      </c>
      <c r="E11" s="30" t="s">
        <v>154</v>
      </c>
    </row>
    <row r="12" spans="1:5" x14ac:dyDescent="0.2">
      <c r="A12" s="23" t="s">
        <v>48</v>
      </c>
      <c r="B12" s="6" t="s">
        <v>162</v>
      </c>
      <c r="C12" s="30">
        <v>41.98</v>
      </c>
      <c r="D12" s="30">
        <v>26.53</v>
      </c>
    </row>
    <row r="13" spans="1:5" x14ac:dyDescent="0.2">
      <c r="A13" s="23" t="s">
        <v>49</v>
      </c>
      <c r="B13" s="6" t="s">
        <v>163</v>
      </c>
      <c r="C13" s="30">
        <v>0</v>
      </c>
      <c r="D13" s="30">
        <v>0</v>
      </c>
      <c r="E13" s="30" t="s">
        <v>154</v>
      </c>
    </row>
    <row r="14" spans="1:5" x14ac:dyDescent="0.2">
      <c r="A14" s="23" t="s">
        <v>50</v>
      </c>
      <c r="B14" s="6" t="s">
        <v>162</v>
      </c>
      <c r="C14" s="30">
        <v>0</v>
      </c>
      <c r="D14" s="30">
        <v>0</v>
      </c>
      <c r="E14" s="30" t="s">
        <v>154</v>
      </c>
    </row>
    <row r="15" spans="1:5" x14ac:dyDescent="0.2">
      <c r="A15" s="23" t="s">
        <v>51</v>
      </c>
      <c r="B15" s="6" t="s">
        <v>163</v>
      </c>
      <c r="C15" s="30">
        <v>0</v>
      </c>
      <c r="D15" s="30">
        <v>0</v>
      </c>
      <c r="E15" s="30" t="s">
        <v>154</v>
      </c>
    </row>
    <row r="16" spans="1:5" x14ac:dyDescent="0.2">
      <c r="A16" s="23" t="s">
        <v>52</v>
      </c>
      <c r="B16" s="6" t="s">
        <v>162</v>
      </c>
      <c r="C16" s="30">
        <v>0</v>
      </c>
      <c r="D16" s="30">
        <v>0</v>
      </c>
      <c r="E16" s="30" t="s">
        <v>154</v>
      </c>
    </row>
    <row r="17" spans="1:5" x14ac:dyDescent="0.2">
      <c r="A17" s="23" t="s">
        <v>53</v>
      </c>
      <c r="B17" s="6" t="s">
        <v>163</v>
      </c>
      <c r="C17" s="30">
        <v>0</v>
      </c>
      <c r="D17" s="30">
        <v>0</v>
      </c>
      <c r="E17" s="30" t="s">
        <v>154</v>
      </c>
    </row>
    <row r="18" spans="1:5" x14ac:dyDescent="0.2">
      <c r="A18" s="23" t="s">
        <v>142</v>
      </c>
      <c r="B18" s="6" t="s">
        <v>162</v>
      </c>
      <c r="C18" s="30">
        <v>51.93</v>
      </c>
      <c r="D18" s="30">
        <v>17.920000000000002</v>
      </c>
      <c r="E18" s="30" t="s">
        <v>155</v>
      </c>
    </row>
    <row r="19" spans="1:5" x14ac:dyDescent="0.2">
      <c r="A19" s="23" t="s">
        <v>143</v>
      </c>
      <c r="B19" s="6" t="s">
        <v>163</v>
      </c>
      <c r="C19" s="30">
        <v>65.760000000000005</v>
      </c>
      <c r="D19" s="30">
        <v>55.74</v>
      </c>
    </row>
    <row r="20" spans="1:5" x14ac:dyDescent="0.2">
      <c r="A20" s="31" t="s">
        <v>56</v>
      </c>
      <c r="B20" s="6" t="s">
        <v>162</v>
      </c>
      <c r="C20" s="30">
        <v>0</v>
      </c>
      <c r="D20" s="30">
        <v>0</v>
      </c>
      <c r="E20" s="30" t="s">
        <v>154</v>
      </c>
    </row>
    <row r="21" spans="1:5" x14ac:dyDescent="0.2">
      <c r="A21" s="23" t="s">
        <v>57</v>
      </c>
      <c r="B21" s="6" t="s">
        <v>163</v>
      </c>
      <c r="C21" s="30">
        <v>0</v>
      </c>
      <c r="D21" s="30">
        <v>0</v>
      </c>
      <c r="E21" s="30" t="s">
        <v>154</v>
      </c>
    </row>
    <row r="22" spans="1:5" x14ac:dyDescent="0.2">
      <c r="A22" s="25" t="s">
        <v>3</v>
      </c>
      <c r="B22" s="6" t="s">
        <v>76</v>
      </c>
      <c r="C22" s="30" t="s">
        <v>96</v>
      </c>
      <c r="D22" s="30" t="s">
        <v>96</v>
      </c>
      <c r="E22" s="30" t="s">
        <v>156</v>
      </c>
    </row>
    <row r="23" spans="1:5" x14ac:dyDescent="0.2">
      <c r="A23" s="25" t="s">
        <v>4</v>
      </c>
      <c r="B23" s="6" t="s">
        <v>76</v>
      </c>
      <c r="C23" s="30">
        <v>34.69</v>
      </c>
      <c r="D23" s="30">
        <v>37.909999999999997</v>
      </c>
    </row>
    <row r="24" spans="1:5" x14ac:dyDescent="0.2">
      <c r="A24" s="25" t="s">
        <v>5</v>
      </c>
      <c r="B24" s="6" t="s">
        <v>76</v>
      </c>
      <c r="C24" s="30">
        <v>43.57</v>
      </c>
      <c r="D24" s="30">
        <v>44.73</v>
      </c>
    </row>
    <row r="25" spans="1:5" x14ac:dyDescent="0.2">
      <c r="A25" s="25" t="s">
        <v>6</v>
      </c>
      <c r="B25" s="6" t="s">
        <v>76</v>
      </c>
      <c r="C25" s="30">
        <v>35.81</v>
      </c>
      <c r="D25" s="30">
        <v>22.65</v>
      </c>
    </row>
    <row r="26" spans="1:5" x14ac:dyDescent="0.2">
      <c r="A26" s="25" t="s">
        <v>7</v>
      </c>
      <c r="B26" s="6" t="s">
        <v>76</v>
      </c>
      <c r="C26" s="30">
        <v>11.32</v>
      </c>
      <c r="D26" s="30">
        <v>51.12</v>
      </c>
    </row>
    <row r="27" spans="1:5" x14ac:dyDescent="0.2">
      <c r="A27" s="25" t="s">
        <v>8</v>
      </c>
      <c r="B27" s="6" t="s">
        <v>76</v>
      </c>
      <c r="C27" s="30">
        <v>18.82</v>
      </c>
      <c r="D27" s="30">
        <v>52.74</v>
      </c>
    </row>
    <row r="28" spans="1:5" x14ac:dyDescent="0.2">
      <c r="A28" s="25" t="s">
        <v>9</v>
      </c>
      <c r="B28" s="6" t="s">
        <v>76</v>
      </c>
      <c r="C28" s="30">
        <v>29.83</v>
      </c>
      <c r="D28" s="30">
        <v>38.1</v>
      </c>
    </row>
    <row r="29" spans="1:5" x14ac:dyDescent="0.2">
      <c r="A29" s="25" t="s">
        <v>10</v>
      </c>
      <c r="B29" s="6" t="s">
        <v>76</v>
      </c>
      <c r="C29" s="30">
        <v>64.87</v>
      </c>
      <c r="D29" s="30">
        <v>69.75</v>
      </c>
    </row>
    <row r="30" spans="1:5" x14ac:dyDescent="0.2">
      <c r="A30" s="25" t="s">
        <v>11</v>
      </c>
      <c r="B30" s="6" t="s">
        <v>76</v>
      </c>
      <c r="C30" s="30">
        <v>61.04</v>
      </c>
      <c r="D30" s="30">
        <v>58.41</v>
      </c>
    </row>
    <row r="31" spans="1:5" x14ac:dyDescent="0.2">
      <c r="A31" s="25" t="s">
        <v>12</v>
      </c>
      <c r="B31" s="6" t="s">
        <v>76</v>
      </c>
      <c r="C31" s="30">
        <v>1.58</v>
      </c>
      <c r="D31" s="30">
        <v>15.89</v>
      </c>
    </row>
    <row r="32" spans="1:5" x14ac:dyDescent="0.2">
      <c r="A32" s="22" t="s">
        <v>18</v>
      </c>
      <c r="B32" s="6" t="s">
        <v>167</v>
      </c>
      <c r="C32" s="30">
        <v>29.94</v>
      </c>
      <c r="D32" s="30">
        <v>60.28</v>
      </c>
    </row>
    <row r="33" spans="1:5" x14ac:dyDescent="0.2">
      <c r="A33" s="22" t="s">
        <v>19</v>
      </c>
      <c r="B33" s="6" t="s">
        <v>166</v>
      </c>
      <c r="C33" s="30" t="s">
        <v>96</v>
      </c>
      <c r="D33" s="30" t="s">
        <v>96</v>
      </c>
      <c r="E33" s="30" t="s">
        <v>156</v>
      </c>
    </row>
    <row r="34" spans="1:5" x14ac:dyDescent="0.2">
      <c r="A34" s="22" t="s">
        <v>20</v>
      </c>
      <c r="B34" s="6" t="s">
        <v>167</v>
      </c>
      <c r="C34" s="30">
        <v>19.48</v>
      </c>
      <c r="D34" s="30">
        <v>50.45</v>
      </c>
    </row>
    <row r="35" spans="1:5" x14ac:dyDescent="0.2">
      <c r="A35" s="22" t="s">
        <v>21</v>
      </c>
      <c r="B35" s="6" t="s">
        <v>166</v>
      </c>
      <c r="C35" s="30">
        <v>6.12</v>
      </c>
      <c r="D35" s="30">
        <v>8.89</v>
      </c>
    </row>
    <row r="36" spans="1:5" x14ac:dyDescent="0.2">
      <c r="A36" s="22" t="s">
        <v>22</v>
      </c>
      <c r="B36" s="6" t="s">
        <v>167</v>
      </c>
      <c r="C36" s="30" t="s">
        <v>96</v>
      </c>
      <c r="D36" s="30" t="s">
        <v>96</v>
      </c>
      <c r="E36" s="30" t="s">
        <v>156</v>
      </c>
    </row>
    <row r="37" spans="1:5" x14ac:dyDescent="0.2">
      <c r="A37" s="22" t="s">
        <v>23</v>
      </c>
      <c r="B37" s="6" t="s">
        <v>166</v>
      </c>
      <c r="C37" s="30" t="s">
        <v>96</v>
      </c>
      <c r="D37" s="30" t="s">
        <v>96</v>
      </c>
      <c r="E37" s="30" t="s">
        <v>156</v>
      </c>
    </row>
    <row r="38" spans="1:5" x14ac:dyDescent="0.2">
      <c r="A38" s="22" t="s">
        <v>24</v>
      </c>
      <c r="B38" s="6" t="s">
        <v>167</v>
      </c>
      <c r="C38" s="30">
        <v>10.62</v>
      </c>
      <c r="D38" s="30">
        <v>13.34</v>
      </c>
    </row>
    <row r="39" spans="1:5" x14ac:dyDescent="0.2">
      <c r="A39" s="22" t="s">
        <v>25</v>
      </c>
      <c r="B39" s="6" t="s">
        <v>166</v>
      </c>
      <c r="C39" s="30">
        <v>1.35</v>
      </c>
      <c r="D39" s="30">
        <v>1.01</v>
      </c>
    </row>
    <row r="40" spans="1:5" x14ac:dyDescent="0.2">
      <c r="A40" s="22" t="s">
        <v>26</v>
      </c>
      <c r="B40" s="6" t="s">
        <v>167</v>
      </c>
      <c r="C40" s="30">
        <v>8</v>
      </c>
      <c r="D40" s="30">
        <v>38.5</v>
      </c>
    </row>
    <row r="41" spans="1:5" x14ac:dyDescent="0.2">
      <c r="A41" s="22" t="s">
        <v>27</v>
      </c>
      <c r="B41" s="6" t="s">
        <v>166</v>
      </c>
      <c r="C41" s="30" t="s">
        <v>96</v>
      </c>
      <c r="D41" s="30" t="s">
        <v>96</v>
      </c>
      <c r="E41" s="30" t="s">
        <v>156</v>
      </c>
    </row>
    <row r="42" spans="1:5" x14ac:dyDescent="0.2">
      <c r="A42" s="22" t="s">
        <v>28</v>
      </c>
      <c r="B42" s="6" t="s">
        <v>167</v>
      </c>
      <c r="C42" s="30">
        <v>15.88</v>
      </c>
      <c r="D42" s="30">
        <v>27.02</v>
      </c>
    </row>
    <row r="43" spans="1:5" x14ac:dyDescent="0.2">
      <c r="A43" s="22" t="s">
        <v>29</v>
      </c>
      <c r="B43" s="6" t="s">
        <v>166</v>
      </c>
      <c r="C43" s="30">
        <v>2.85</v>
      </c>
      <c r="D43" s="30">
        <v>4.32</v>
      </c>
    </row>
    <row r="44" spans="1:5" x14ac:dyDescent="0.2">
      <c r="A44" s="22" t="s">
        <v>30</v>
      </c>
      <c r="B44" s="6" t="s">
        <v>167</v>
      </c>
      <c r="C44" s="30">
        <v>19.3</v>
      </c>
      <c r="D44" s="30">
        <v>30.99</v>
      </c>
    </row>
    <row r="45" spans="1:5" x14ac:dyDescent="0.2">
      <c r="A45" s="22" t="s">
        <v>31</v>
      </c>
      <c r="B45" s="6" t="s">
        <v>166</v>
      </c>
      <c r="C45" s="30">
        <v>6.99</v>
      </c>
      <c r="D45" s="30">
        <v>9.1199999999999992</v>
      </c>
    </row>
    <row r="46" spans="1:5" x14ac:dyDescent="0.2">
      <c r="A46" s="22" t="s">
        <v>32</v>
      </c>
      <c r="B46" s="6" t="s">
        <v>167</v>
      </c>
      <c r="C46" s="30">
        <v>20.88</v>
      </c>
      <c r="D46" s="30">
        <v>36.65</v>
      </c>
    </row>
    <row r="47" spans="1:5" x14ac:dyDescent="0.2">
      <c r="A47" s="22" t="s">
        <v>33</v>
      </c>
      <c r="B47" s="6" t="s">
        <v>166</v>
      </c>
      <c r="C47" s="30">
        <v>7.13</v>
      </c>
      <c r="D47" s="30">
        <v>15.69</v>
      </c>
    </row>
    <row r="48" spans="1:5" x14ac:dyDescent="0.2">
      <c r="A48" s="22" t="s">
        <v>34</v>
      </c>
      <c r="B48" s="6" t="s">
        <v>167</v>
      </c>
      <c r="C48" s="30">
        <v>19.64</v>
      </c>
      <c r="D48" s="30">
        <v>47.99</v>
      </c>
    </row>
    <row r="49" spans="1:5" x14ac:dyDescent="0.2">
      <c r="A49" s="22" t="s">
        <v>35</v>
      </c>
      <c r="B49" s="6" t="s">
        <v>166</v>
      </c>
      <c r="C49" s="30">
        <v>6.19</v>
      </c>
      <c r="D49" s="30">
        <v>8.7100000000000009</v>
      </c>
    </row>
    <row r="50" spans="1:5" x14ac:dyDescent="0.2">
      <c r="A50" s="22" t="s">
        <v>36</v>
      </c>
      <c r="B50" s="6" t="s">
        <v>167</v>
      </c>
      <c r="C50" s="30">
        <v>11.39</v>
      </c>
      <c r="D50" s="30">
        <v>27.01</v>
      </c>
    </row>
    <row r="51" spans="1:5" x14ac:dyDescent="0.2">
      <c r="A51" s="22" t="s">
        <v>37</v>
      </c>
      <c r="B51" s="6" t="s">
        <v>166</v>
      </c>
      <c r="C51" s="30">
        <v>2.65</v>
      </c>
      <c r="D51" s="30">
        <v>2.61</v>
      </c>
    </row>
    <row r="52" spans="1:5" x14ac:dyDescent="0.2">
      <c r="A52" s="6" t="s">
        <v>14</v>
      </c>
      <c r="B52" s="6" t="s">
        <v>164</v>
      </c>
      <c r="C52" s="30">
        <v>15.55</v>
      </c>
      <c r="D52" s="30">
        <v>13.08</v>
      </c>
    </row>
    <row r="53" spans="1:5" x14ac:dyDescent="0.2">
      <c r="A53" s="6" t="s">
        <v>15</v>
      </c>
      <c r="B53" s="6" t="s">
        <v>164</v>
      </c>
      <c r="C53" s="30">
        <v>31.58</v>
      </c>
      <c r="D53" s="30">
        <v>11.8</v>
      </c>
    </row>
    <row r="54" spans="1:5" x14ac:dyDescent="0.2">
      <c r="A54" s="6" t="s">
        <v>16</v>
      </c>
      <c r="B54" s="6" t="s">
        <v>164</v>
      </c>
      <c r="C54" s="30">
        <v>19.04</v>
      </c>
      <c r="D54" s="30">
        <v>50.72</v>
      </c>
    </row>
    <row r="55" spans="1:5" x14ac:dyDescent="0.2">
      <c r="A55" s="6" t="s">
        <v>17</v>
      </c>
      <c r="B55" s="6" t="s">
        <v>164</v>
      </c>
      <c r="C55" s="30">
        <v>28.84</v>
      </c>
      <c r="D55" s="30">
        <v>51.54</v>
      </c>
    </row>
    <row r="56" spans="1:5" x14ac:dyDescent="0.2">
      <c r="A56" s="6" t="s">
        <v>58</v>
      </c>
      <c r="B56" s="6" t="s">
        <v>164</v>
      </c>
      <c r="C56" s="30" t="s">
        <v>96</v>
      </c>
      <c r="D56" s="30" t="s">
        <v>96</v>
      </c>
      <c r="E56" s="30" t="s">
        <v>156</v>
      </c>
    </row>
    <row r="57" spans="1:5" x14ac:dyDescent="0.2">
      <c r="A57" s="6" t="s">
        <v>59</v>
      </c>
      <c r="B57" s="6" t="s">
        <v>164</v>
      </c>
      <c r="C57" s="30" t="s">
        <v>96</v>
      </c>
      <c r="D57" s="30" t="s">
        <v>96</v>
      </c>
      <c r="E57" s="30" t="s">
        <v>156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 growth</vt:lpstr>
      <vt:lpstr>Salinity</vt:lpstr>
      <vt:lpstr>Redox and Soil strength</vt:lpstr>
      <vt:lpstr>Flowering</vt:lpstr>
      <vt:lpstr>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2025-06-16T10:01:29Z</dcterms:modified>
</cp:coreProperties>
</file>